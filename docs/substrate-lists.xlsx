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Progress" sheetId="2" state="visible" r:id="rId2"/>
    <sheet xmlns:r="http://schemas.openxmlformats.org/officeDocument/2006/relationships" name="L1 Categories" sheetId="3" state="visible" r:id="rId3"/>
    <sheet xmlns:r="http://schemas.openxmlformats.org/officeDocument/2006/relationships" name="L2 Universal Attributes" sheetId="4" state="visible" r:id="rId4"/>
    <sheet xmlns:r="http://schemas.openxmlformats.org/officeDocument/2006/relationships" name="L3 Category Attributes" sheetId="5" state="visible" r:id="rId5"/>
    <sheet xmlns:r="http://schemas.openxmlformats.org/officeDocument/2006/relationships" name="L4 Core Tag vocabulary" sheetId="6" state="visible" r:id="rId6"/>
    <sheet xmlns:r="http://schemas.openxmlformats.org/officeDocument/2006/relationships" name="L5 State axes" sheetId="7" state="visible" r:id="rId7"/>
    <sheet xmlns:r="http://schemas.openxmlformats.org/officeDocument/2006/relationships" name="L6 Verbs" sheetId="8" state="visible" r:id="rId8"/>
    <sheet xmlns:r="http://schemas.openxmlformats.org/officeDocument/2006/relationships" name="L7 Layers" sheetId="9" state="visible" r:id="rId9"/>
    <sheet xmlns:r="http://schemas.openxmlformats.org/officeDocument/2006/relationships" name="L10 Challenge Profile axes" sheetId="10" state="visible" r:id="rId10"/>
    <sheet xmlns:r="http://schemas.openxmlformats.org/officeDocument/2006/relationships" name="L11 Asset types" sheetId="11" state="visible" r:id="rId11"/>
    <sheet xmlns:r="http://schemas.openxmlformats.org/officeDocument/2006/relationships" name="L12 Rails binding scopes" sheetId="12" state="visible" r:id="rId12"/>
    <sheet xmlns:r="http://schemas.openxmlformats.org/officeDocument/2006/relationships" name="L13 Record types" sheetId="13" state="visible" r:id="rId13"/>
    <sheet xmlns:r="http://schemas.openxmlformats.org/officeDocument/2006/relationships" name="L18 Aggregation operators" sheetId="14" state="visible" r:id="rId14"/>
    <sheet xmlns:r="http://schemas.openxmlformats.org/officeDocument/2006/relationships" name="L19 Causal tag vocabulary" sheetId="15" state="visible" r:id="rId15"/>
    <sheet xmlns:r="http://schemas.openxmlformats.org/officeDocument/2006/relationships" name="L20 Lens tiers" sheetId="16" state="visible" r:id="rId16"/>
    <sheet xmlns:r="http://schemas.openxmlformats.org/officeDocument/2006/relationships" name="L21 Dimension Spaces" sheetId="17" state="visible" r:id="rId17"/>
    <sheet xmlns:r="http://schemas.openxmlformats.org/officeDocument/2006/relationships" name="L22 Dimensions, per Space" sheetId="18" state="visible" r:id="rId18"/>
    <sheet xmlns:r="http://schemas.openxmlformats.org/officeDocument/2006/relationships" name="L23 Named Channels" sheetId="19" state="visible" r:id="rId19"/>
    <sheet xmlns:r="http://schemas.openxmlformats.org/officeDocument/2006/relationships" name="L24 Guard presets" sheetId="20" state="visible" r:id="rId20"/>
    <sheet xmlns:r="http://schemas.openxmlformats.org/officeDocument/2006/relationships" name="L25 Transient-to-Persistent con" sheetId="21" state="visible" r:id="rId21"/>
    <sheet xmlns:r="http://schemas.openxmlformats.org/officeDocument/2006/relationships" name="L26 Listener condition forms" sheetId="22" state="visible" r:id="rId22"/>
    <sheet xmlns:r="http://schemas.openxmlformats.org/officeDocument/2006/relationships" name="L27 Sockets" sheetId="23" state="visible" r:id="rId23"/>
    <sheet xmlns:r="http://schemas.openxmlformats.org/officeDocument/2006/relationships" name="L28 Economy" sheetId="24" state="visible" r:id="rId24"/>
    <sheet xmlns:r="http://schemas.openxmlformats.org/officeDocument/2006/relationships" name="L29 Capacities" sheetId="25" state="visible" r:id="rId25"/>
    <sheet xmlns:r="http://schemas.openxmlformats.org/officeDocument/2006/relationships" name="L30 Instrumentation surfaces" sheetId="26" state="visible" r:id="rId26"/>
    <sheet xmlns:r="http://schemas.openxmlformats.org/officeDocument/2006/relationships" name="L31 Timings" sheetId="27" state="visible" r:id="rId27"/>
    <sheet xmlns:r="http://schemas.openxmlformats.org/officeDocument/2006/relationships" name="L32 Moment kinds" sheetId="28" state="visible" r:id="rId28"/>
  </sheets>
  <definedNames/>
  <calcPr calcId="124519" fullCalcOnLoad="1" refMode="A1" iterate="0" iterateCount="100" iterateDelta="0.0001"/>
</workbook>
</file>

<file path=xl/styles.xml><?xml version="1.0" encoding="utf-8"?>
<styleSheet xmlns="http://schemas.openxmlformats.org/spreadsheetml/2006/main">
  <numFmts count="0"/>
  <fonts count="27">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404040"/>
      <sz val="10"/>
    </font>
    <font>
      <name val="Arial"/>
      <charset val="1"/>
      <family val="0"/>
      <b val="1"/>
      <color rgb="FF1F3864"/>
      <sz val="11"/>
    </font>
    <font>
      <name val="Arial"/>
      <charset val="1"/>
      <family val="0"/>
      <b val="1"/>
      <sz val="10"/>
    </font>
    <font>
      <name val="Arial"/>
      <charset val="1"/>
      <family val="0"/>
      <sz val="10"/>
    </font>
    <font>
      <name val="Arial"/>
      <charset val="1"/>
      <family val="0"/>
      <b val="1"/>
      <color rgb="FFFFFFFF"/>
      <sz val="10"/>
    </font>
    <font>
      <name val="Arial"/>
      <charset val="1"/>
      <family val="0"/>
      <b val="1"/>
      <color rgb="FFC00000"/>
      <sz val="10"/>
    </font>
    <font>
      <name val="Arial"/>
      <charset val="1"/>
      <family val="0"/>
      <b val="1"/>
      <color rgb="FF006100"/>
      <sz val="10"/>
    </font>
    <font>
      <name val="Arial"/>
      <charset val="1"/>
      <family val="0"/>
      <i val="1"/>
      <color rgb="FFC00000"/>
      <sz val="10"/>
    </font>
    <font>
      <name val="Arial"/>
      <charset val="1"/>
      <family val="0"/>
      <i val="1"/>
      <color rgb="FF808080"/>
      <sz val="10"/>
    </font>
    <font>
      <name val="Calibri"/>
      <sz val="10"/>
    </font>
    <font>
      <name val="Calibri"/>
      <b val="1"/>
      <sz val="10"/>
    </font>
    <font>
      <name val="Calibri"/>
      <b val="1"/>
      <sz val="12"/>
    </font>
    <font>
      <name val="Calibri"/>
      <b val="1"/>
      <sz val="9"/>
    </font>
    <font>
      <name val="Calibri"/>
      <sz val="9"/>
    </font>
    <font>
      <b val="1"/>
      <color rgb="FF1F3864"/>
      <sz val="14"/>
    </font>
    <font>
      <b val="1"/>
      <color rgb="FFC00000"/>
      <sz val="10"/>
    </font>
    <font>
      <color rgb="FF404040"/>
      <sz val="10"/>
    </font>
    <font>
      <color rgb="FFC00000"/>
      <sz val="10"/>
    </font>
    <font>
      <b val="1"/>
      <color rgb="FFFFFFFF"/>
      <sz val="10"/>
    </font>
    <font>
      <color rgb="FF808080"/>
      <sz val="10"/>
    </font>
    <font>
      <b val="1"/>
      <color rgb="FF7F7F7F"/>
      <sz val="10"/>
    </font>
    <font>
      <b val="1"/>
    </font>
  </fonts>
  <fills count="10">
    <fill>
      <patternFill/>
    </fill>
    <fill>
      <patternFill patternType="gray125"/>
    </fill>
    <fill>
      <patternFill patternType="solid">
        <fgColor rgb="FF1F3864"/>
        <bgColor rgb="FF333399"/>
      </patternFill>
    </fill>
    <fill>
      <patternFill patternType="solid">
        <fgColor rgb="FFFFF2CC"/>
        <bgColor rgb="FFFFFFFF"/>
      </patternFill>
    </fill>
    <fill>
      <patternFill patternType="solid">
        <fgColor rgb="00FFF8E1"/>
      </patternFill>
    </fill>
    <fill>
      <patternFill patternType="solid">
        <fgColor rgb="00E8F5E9"/>
      </patternFill>
    </fill>
    <fill>
      <patternFill patternType="solid">
        <fgColor rgb="00FFE0E0"/>
      </patternFill>
    </fill>
    <fill>
      <patternFill patternType="solid">
        <fgColor rgb="00E0F0FF"/>
      </patternFill>
    </fill>
    <fill>
      <patternFill patternType="solid">
        <fgColor rgb="FF1F3864"/>
      </patternFill>
    </fill>
    <fill>
      <patternFill patternType="solid">
        <fgColor rgb="00E2F0D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6">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1" applyAlignment="1" pivotButton="0" quotePrefix="0" xfId="0">
      <alignment horizontal="general" vertical="bottom"/>
    </xf>
    <xf numFmtId="0" fontId="8" fillId="0" borderId="1" applyAlignment="1" pivotButton="0" quotePrefix="0" xfId="0">
      <alignment horizontal="general" vertical="bottom"/>
    </xf>
    <xf numFmtId="0" fontId="7" fillId="0" borderId="1"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0" fillId="0" borderId="1" applyAlignment="1" pivotButton="0" quotePrefix="0" xfId="0">
      <alignment horizontal="general" vertical="bottom"/>
    </xf>
    <xf numFmtId="0" fontId="11" fillId="0" borderId="1" applyAlignment="1" pivotButton="0" quotePrefix="0" xfId="0">
      <alignment horizontal="general" vertical="bottom"/>
    </xf>
    <xf numFmtId="0" fontId="12" fillId="0" borderId="0" applyAlignment="1" pivotButton="0" quotePrefix="0" xfId="0">
      <alignment horizontal="general" vertical="bottom"/>
    </xf>
    <xf numFmtId="0" fontId="9" fillId="2" borderId="1" applyAlignment="1" pivotButton="0" quotePrefix="0" xfId="0">
      <alignment horizontal="general" vertical="center" wrapText="1"/>
    </xf>
    <xf numFmtId="0" fontId="13" fillId="0" borderId="1" applyAlignment="1" pivotButton="0" quotePrefix="0" xfId="0">
      <alignment horizontal="general" vertical="top" wrapText="1"/>
    </xf>
    <xf numFmtId="0" fontId="13" fillId="0" borderId="0" applyAlignment="1" pivotButton="0" quotePrefix="0" xfId="0">
      <alignment horizontal="general" vertical="bottom"/>
    </xf>
    <xf numFmtId="0" fontId="8"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1" applyAlignment="1" pivotButton="0" quotePrefix="0" xfId="0">
      <alignment horizontal="general" vertical="bottom"/>
    </xf>
    <xf numFmtId="0" fontId="8" fillId="0" borderId="1" applyAlignment="1" pivotButton="0" quotePrefix="0" xfId="0">
      <alignment horizontal="general" vertical="bottom"/>
    </xf>
    <xf numFmtId="0" fontId="7" fillId="0" borderId="1"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0" fillId="0" borderId="1" applyAlignment="1" pivotButton="0" quotePrefix="0" xfId="0">
      <alignment horizontal="general" vertical="bottom"/>
    </xf>
    <xf numFmtId="0" fontId="11" fillId="0" borderId="1" applyAlignment="1" pivotButton="0" quotePrefix="0" xfId="0">
      <alignment horizontal="general" vertical="bottom"/>
    </xf>
    <xf numFmtId="0" fontId="12" fillId="0" borderId="0" applyAlignment="1" pivotButton="0" quotePrefix="0" xfId="0">
      <alignment horizontal="general" vertical="bottom"/>
    </xf>
    <xf numFmtId="0" fontId="9" fillId="2" borderId="1" applyAlignment="1" pivotButton="0" quotePrefix="0" xfId="0">
      <alignment horizontal="general" vertical="center" wrapText="1"/>
    </xf>
    <xf numFmtId="0" fontId="13" fillId="0" borderId="1" applyAlignment="1" pivotButton="0" quotePrefix="0" xfId="0">
      <alignment horizontal="general" vertical="top" wrapText="1"/>
    </xf>
    <xf numFmtId="0" fontId="13" fillId="0" borderId="0" applyAlignment="1" pivotButton="0" quotePrefix="0" xfId="0">
      <alignment horizontal="general" vertical="bottom"/>
    </xf>
    <xf numFmtId="0" fontId="14" fillId="4" borderId="1" applyAlignment="1" pivotButton="0" quotePrefix="0" xfId="0">
      <alignment vertical="top" wrapText="1"/>
    </xf>
    <xf numFmtId="0" fontId="8" fillId="3" borderId="1" applyAlignment="1" pivotButton="0" quotePrefix="0" xfId="0">
      <alignment horizontal="general" vertical="top" wrapText="1"/>
    </xf>
    <xf numFmtId="0" fontId="15" fillId="0" borderId="0" applyAlignment="1" pivotButton="0" quotePrefix="0" xfId="0">
      <alignment vertical="top"/>
    </xf>
    <xf numFmtId="0" fontId="14" fillId="0" borderId="0" applyAlignment="1" pivotButton="0" quotePrefix="0" xfId="0">
      <alignment vertical="top"/>
    </xf>
    <xf numFmtId="0" fontId="15" fillId="4" borderId="1" applyAlignment="1" pivotButton="0" quotePrefix="0" xfId="0">
      <alignment vertical="top" wrapText="1"/>
    </xf>
    <xf numFmtId="0" fontId="14" fillId="5" borderId="1" applyAlignment="1" pivotButton="0" quotePrefix="0" xfId="0">
      <alignment vertical="top" wrapText="1"/>
    </xf>
    <xf numFmtId="0" fontId="15" fillId="2" borderId="1" applyAlignment="1" pivotButton="0" quotePrefix="0" xfId="0">
      <alignment horizontal="general" vertical="center" wrapText="1"/>
    </xf>
    <xf numFmtId="0" fontId="16" fillId="0" borderId="0" applyAlignment="1" pivotButton="0" quotePrefix="0" xfId="0">
      <alignment horizontal="general" vertical="bottom"/>
    </xf>
    <xf numFmtId="0" fontId="15" fillId="0" borderId="0" applyAlignment="1" pivotButton="0" quotePrefix="0" xfId="0">
      <alignment horizontal="general" vertical="bottom"/>
    </xf>
    <xf numFmtId="0" fontId="17" fillId="2" borderId="1" applyAlignment="1" pivotButton="0" quotePrefix="0" xfId="0">
      <alignment vertical="bottom" wrapText="1"/>
    </xf>
    <xf numFmtId="0" fontId="17" fillId="2" borderId="1" applyAlignment="1" pivotButton="0" quotePrefix="0" xfId="0">
      <alignment vertical="bottom" textRotation="90" wrapText="1"/>
    </xf>
    <xf numFmtId="0" fontId="17" fillId="0" borderId="0" applyAlignment="1" pivotButton="0" quotePrefix="0" xfId="0">
      <alignment vertical="bottom" textRotation="90" wrapText="1"/>
    </xf>
    <xf numFmtId="0" fontId="17" fillId="0" borderId="0" applyAlignment="1" pivotButton="0" quotePrefix="0" xfId="0">
      <alignment vertical="bottom" wrapText="1"/>
    </xf>
    <xf numFmtId="0" fontId="18" fillId="0" borderId="1" applyAlignment="1" pivotButton="0" quotePrefix="0" xfId="0">
      <alignment horizontal="general" vertical="top" wrapText="1"/>
    </xf>
    <xf numFmtId="0" fontId="15" fillId="0" borderId="1" applyAlignment="1" pivotButton="0" quotePrefix="0" xfId="0">
      <alignment horizontal="general" vertical="top" wrapText="1"/>
    </xf>
    <xf numFmtId="0" fontId="14" fillId="6" borderId="1" applyAlignment="1" pivotButton="0" quotePrefix="0" xfId="0">
      <alignment horizontal="general" vertical="top" wrapText="1"/>
    </xf>
    <xf numFmtId="0" fontId="18" fillId="4" borderId="1" applyAlignment="1" pivotButton="0" quotePrefix="0" xfId="0">
      <alignment vertical="top" wrapText="1"/>
    </xf>
    <xf numFmtId="0" fontId="14" fillId="6" borderId="1" applyAlignment="1" pivotButton="0" quotePrefix="0" xfId="0">
      <alignment vertical="top" wrapText="1"/>
    </xf>
    <xf numFmtId="0" fontId="14" fillId="6" borderId="0" pivotButton="0" quotePrefix="0" xfId="0"/>
    <xf numFmtId="0" fontId="14" fillId="7" borderId="1" applyAlignment="1" pivotButton="0" quotePrefix="0" xfId="0">
      <alignment vertical="top" wrapText="1"/>
    </xf>
    <xf numFmtId="0" fontId="18" fillId="3" borderId="1" applyAlignment="1" pivotButton="0" quotePrefix="0" xfId="0">
      <alignment horizontal="general" vertical="top" wrapText="1"/>
    </xf>
    <xf numFmtId="0" fontId="15" fillId="3" borderId="1" applyAlignment="1" pivotButton="0" quotePrefix="0" xfId="0">
      <alignment horizontal="general" vertical="top" wrapText="1"/>
    </xf>
    <xf numFmtId="0" fontId="14" fillId="7" borderId="1" applyAlignment="1" pivotButton="0" quotePrefix="0" xfId="0">
      <alignment horizontal="general" vertical="top" wrapText="1"/>
    </xf>
    <xf numFmtId="0" fontId="18" fillId="0" borderId="0" pivotButton="0" quotePrefix="0" xfId="0"/>
    <xf numFmtId="0" fontId="15" fillId="0" borderId="0" pivotButton="0" quotePrefix="0" xfId="0"/>
    <xf numFmtId="0" fontId="14" fillId="7" borderId="0" pivotButton="0" quotePrefix="0" xfId="0"/>
    <xf numFmtId="0" fontId="14" fillId="0" borderId="0" pivotButton="0" quotePrefix="0" xfId="0"/>
    <xf numFmtId="0" fontId="19" fillId="0" borderId="0" pivotButton="0" quotePrefix="0" xfId="0"/>
    <xf numFmtId="0" fontId="20" fillId="0" borderId="0" pivotButton="0" quotePrefix="0" xfId="0"/>
    <xf numFmtId="0" fontId="21" fillId="0" borderId="0" pivotButton="0" quotePrefix="0" xfId="0"/>
    <xf numFmtId="0" fontId="22" fillId="0" borderId="0" pivotButton="0" quotePrefix="0" xfId="0"/>
    <xf numFmtId="0" fontId="23" fillId="8" borderId="0" applyAlignment="1" pivotButton="0" quotePrefix="0" xfId="0">
      <alignment vertical="top" wrapText="1"/>
    </xf>
    <xf numFmtId="0" fontId="24" fillId="0" borderId="0" applyAlignment="1" pivotButton="0" quotePrefix="0" xfId="0">
      <alignment vertical="top" wrapText="1"/>
    </xf>
    <xf numFmtId="0" fontId="24" fillId="0" borderId="0" pivotButton="0" quotePrefix="0" xfId="0"/>
    <xf numFmtId="0" fontId="0" fillId="4" borderId="0" applyAlignment="1" pivotButton="0" quotePrefix="0" xfId="0">
      <alignment vertical="top" wrapText="1"/>
    </xf>
    <xf numFmtId="0" fontId="25" fillId="0" borderId="0" pivotButton="0" quotePrefix="0" xfId="0"/>
    <xf numFmtId="0" fontId="0" fillId="0" borderId="0" applyAlignment="1" pivotButton="0" quotePrefix="0" xfId="0">
      <alignment vertical="top" wrapText="1"/>
    </xf>
    <xf numFmtId="0" fontId="8" fillId="9" borderId="1" applyAlignment="1" pivotButton="0" quotePrefix="0" xfId="0">
      <alignment horizontal="general" vertical="bottom"/>
    </xf>
    <xf numFmtId="0" fontId="10" fillId="9" borderId="1" applyAlignment="1" pivotButton="0" quotePrefix="0" xfId="0">
      <alignment horizontal="general" vertical="bottom"/>
    </xf>
    <xf numFmtId="0" fontId="2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6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8" min="1" max="1"/>
    <col width="42" customWidth="1" style="18" min="2" max="2"/>
    <col width="78" customWidth="1" style="18" min="3" max="3"/>
  </cols>
  <sheetData>
    <row r="1" ht="17.35" customHeight="1" s="19">
      <c r="A1" s="20" t="inlineStr">
        <is>
          <t>The lists workbook</t>
        </is>
      </c>
    </row>
    <row r="2" ht="15" customHeight="1" s="19">
      <c r="A2" s="21" t="inlineStr">
        <is>
          <t>Everything the Substrate still needs decided. One tab per list. Source of truth: docs/dictionary.md Part 11.</t>
        </is>
      </c>
    </row>
    <row r="4" ht="15" customHeight="1" s="19">
      <c r="A4" s="22" t="inlineStr">
        <is>
          <t>How to use this</t>
        </is>
      </c>
    </row>
    <row r="5" ht="15" customHeight="1" s="19">
      <c r="A5" s="23" t="inlineStr">
        <is>
          <t>Yellow cells are yours to fill.</t>
        </is>
      </c>
      <c r="B5" s="24" t="inlineStr">
        <is>
          <t>Every tab has one grey italic example row showing the expected format. Delete it or leave it — it is ignored.</t>
        </is>
      </c>
    </row>
    <row r="6" ht="15" customHeight="1" s="19">
      <c r="A6" s="23" t="inlineStr">
        <is>
          <t>Grey italic row = example.</t>
        </is>
      </c>
      <c r="B6" s="24" t="inlineStr">
        <is>
          <t>It is not data. It shows the shape of an entry.</t>
        </is>
      </c>
    </row>
    <row r="7" ht="15" customHeight="1" s="19">
      <c r="A7" s="23" t="inlineStr">
        <is>
          <t>Fill in the order on the right.</t>
        </is>
      </c>
      <c r="B7" s="24" t="inlineStr">
        <is>
          <t>Not tab order. The order is a dependency order, and getting it wrong wastes work.</t>
        </is>
      </c>
    </row>
    <row r="8" ht="15" customHeight="1" s="19">
      <c r="A8" s="23" t="inlineStr">
        <is>
          <t>A list is done when you would bet a year on it.</t>
        </is>
      </c>
      <c r="B8" s="24" t="inlineStr">
        <is>
          <t>These cannot be revised once a Campaign exists. That is the whole reason they are being written down before any code.</t>
        </is>
      </c>
    </row>
    <row r="10" ht="15" customHeight="1" s="19">
      <c r="A10" s="22" t="inlineStr">
        <is>
          <t>The order to fill them in</t>
        </is>
      </c>
    </row>
    <row r="11" ht="15" customHeight="1" s="19">
      <c r="A11" s="25" t="inlineStr">
        <is>
          <t>#</t>
        </is>
      </c>
      <c r="B11" s="25" t="inlineStr">
        <is>
          <t>List</t>
        </is>
      </c>
      <c r="C11" s="25" t="inlineStr">
        <is>
          <t>Why here</t>
        </is>
      </c>
    </row>
    <row r="12" ht="15" customHeight="1" s="19">
      <c r="A12" s="26" t="inlineStr">
        <is>
          <t>1</t>
        </is>
      </c>
      <c r="B12" s="27" t="inlineStr">
        <is>
          <t>L29 Capacities</t>
        </is>
      </c>
      <c r="C12" s="26" t="inlineStr">
        <is>
          <t>The most load-bearing list. What a character is made of AND the axes an attempt splits across.</t>
        </is>
      </c>
    </row>
    <row r="13" ht="15" customHeight="1" s="19">
      <c r="A13" s="26" t="inlineStr">
        <is>
          <t>2</t>
        </is>
      </c>
      <c r="B13" s="27" t="inlineStr">
        <is>
          <t>L21 Dimension Spaces</t>
        </is>
      </c>
      <c r="C13" s="26" t="inlineStr">
        <is>
          <t>Then L22 Dimensions, then L23 Channels. Strictly in that order.</t>
        </is>
      </c>
    </row>
    <row r="14" ht="15" customHeight="1" s="19">
      <c r="A14" s="26" t="inlineStr">
        <is>
          <t>3</t>
        </is>
      </c>
      <c r="B14" s="27" t="inlineStr">
        <is>
          <t>L22 Dimensions, per Space</t>
        </is>
      </c>
      <c r="C14" s="26" t="n"/>
    </row>
    <row r="15" ht="15" customHeight="1" s="19">
      <c r="A15" s="26" t="inlineStr">
        <is>
          <t>4</t>
        </is>
      </c>
      <c r="B15" s="27" t="inlineStr">
        <is>
          <t>L23 Named Channels</t>
        </is>
      </c>
      <c r="C15" s="26" t="n"/>
    </row>
    <row r="16" ht="15" customHeight="1" s="19">
      <c r="A16" s="26" t="inlineStr">
        <is>
          <t>5</t>
        </is>
      </c>
      <c r="B16" s="27" t="inlineStr">
        <is>
          <t>L27 Sockets</t>
        </is>
      </c>
      <c r="C16" s="26" t="inlineStr">
        <is>
          <t>Blocks the Component contract.</t>
        </is>
      </c>
    </row>
    <row r="17" ht="15" customHeight="1" s="19">
      <c r="A17" s="26" t="inlineStr">
        <is>
          <t>6</t>
        </is>
      </c>
      <c r="B17" s="27" t="inlineStr">
        <is>
          <t>L28 Economy Units</t>
        </is>
      </c>
      <c r="C17" s="26" t="inlineStr">
        <is>
          <t>Blocks every spell and ability ever written.</t>
        </is>
      </c>
    </row>
    <row r="18" ht="15" customHeight="1" s="19">
      <c r="A18" s="26" t="inlineStr">
        <is>
          <t>7</t>
        </is>
      </c>
      <c r="B18" s="27" t="inlineStr">
        <is>
          <t>L1 / L2 / L3</t>
        </is>
      </c>
      <c r="C18" s="26" t="inlineStr">
        <is>
          <t>Categories, then Universal Attributes, then Category Attributes.</t>
        </is>
      </c>
    </row>
    <row r="19" ht="15" customHeight="1" s="19">
      <c r="A19" s="26" t="inlineStr">
        <is>
          <t>8</t>
        </is>
      </c>
      <c r="B19" s="27" t="inlineStr">
        <is>
          <t>L4 Tags and L5 State axes</t>
        </is>
      </c>
      <c r="C19" s="26" t="n"/>
    </row>
    <row r="20" ht="15" customHeight="1" s="19">
      <c r="A20" s="26" t="inlineStr">
        <is>
          <t>9</t>
        </is>
      </c>
      <c r="B20" s="27" t="inlineStr">
        <is>
          <t>L18 Aggregation operators</t>
        </is>
      </c>
      <c r="C20" s="26" t="inlineStr">
        <is>
          <t>The single most likely source of a determinism bug.</t>
        </is>
      </c>
    </row>
    <row r="21" ht="15" customHeight="1" s="19">
      <c r="A21" s="26" t="inlineStr">
        <is>
          <t>10</t>
        </is>
      </c>
      <c r="B21" s="27" t="inlineStr">
        <is>
          <t>L25 Conversions</t>
        </is>
      </c>
      <c r="C21" s="26" t="inlineStr">
        <is>
          <t>What a surviving vector actually does.</t>
        </is>
      </c>
    </row>
    <row r="22" ht="15" customHeight="1" s="19">
      <c r="A22" s="26" t="inlineStr">
        <is>
          <t>11</t>
        </is>
      </c>
      <c r="B22" s="27" t="inlineStr">
        <is>
          <t>L7 Layers — the rest</t>
        </is>
      </c>
      <c r="C22" s="26" t="inlineStr">
        <is>
          <t>Everything outside resolution: progression, economy, movement, knowledge, standing.</t>
        </is>
      </c>
    </row>
    <row r="23" ht="15" customHeight="1" s="19">
      <c r="A23" s="26" t="inlineStr">
        <is>
          <t>12</t>
        </is>
      </c>
      <c r="B23" s="27" t="inlineStr">
        <is>
          <t>L26 Listener conditions</t>
        </is>
      </c>
      <c r="C23" s="26" t="inlineStr">
        <is>
          <t>Plus the cascade limit and the evaluation order.</t>
        </is>
      </c>
    </row>
    <row r="24" ht="15" customHeight="1" s="19">
      <c r="A24" s="26" t="inlineStr">
        <is>
          <t>13</t>
        </is>
      </c>
      <c r="B24" s="27" t="inlineStr">
        <is>
          <t>L6 VERBS — LAST</t>
        </is>
      </c>
      <c r="C24" s="26" t="inlineStr">
        <is>
          <t>Not third, and not an afternoon. Every list above produces the evidence.</t>
        </is>
      </c>
    </row>
    <row r="26" ht="15" customHeight="1" s="19">
      <c r="A26" s="22" t="inlineStr">
        <is>
          <t>Status key</t>
        </is>
      </c>
    </row>
    <row r="27" ht="15" customHeight="1" s="19">
      <c r="A27" s="28" t="inlineStr">
        <is>
          <t>BLOCKING</t>
        </is>
      </c>
      <c r="B27" s="24" t="inlineStr">
        <is>
          <t>Nothing can be built until this is done.</t>
        </is>
      </c>
    </row>
    <row r="28" ht="15" customHeight="1" s="19">
      <c r="A28" s="29" t="inlineStr">
        <is>
          <t>PENDING</t>
        </is>
      </c>
      <c r="B28" s="24" t="inlineStr">
        <is>
          <t>Needed, not yet blocking anything.</t>
        </is>
      </c>
    </row>
    <row r="29" ht="15" customHeight="1" s="19">
      <c r="A29" s="29" t="inlineStr">
        <is>
          <t>PARTIAL</t>
        </is>
      </c>
      <c r="B29" s="24" t="inlineStr">
        <is>
          <t>Shape decided, contents open.</t>
        </is>
      </c>
    </row>
    <row r="30" ht="15" customHeight="1" s="19">
      <c r="A30" s="28" t="inlineStr">
        <is>
          <t>CLOSE LAST</t>
        </is>
      </c>
      <c r="B30" s="24" t="inlineStr">
        <is>
          <t>Deliberately not settled yet. Settling it early is the mistake.</t>
        </is>
      </c>
    </row>
    <row r="32">
      <c r="A32" s="38" t="inlineStr">
        <is>
          <t>HOW TO USE THE PROPOSALS — added August 2026</t>
        </is>
      </c>
    </row>
    <row r="33">
      <c r="A33" s="39" t="inlineStr"/>
    </row>
    <row r="34">
      <c r="A34" s="39" t="inlineStr">
        <is>
          <t>Every blocking tab now opens with PROPOSED rows on a pale yellow background. They are a starting position, not an answer.</t>
        </is>
      </c>
    </row>
    <row r="35">
      <c r="A35" s="39" t="inlineStr">
        <is>
          <t>Three things to do with each row: accept it, edit it, or cut it. Cutting is the most valuable of the three.</t>
        </is>
      </c>
    </row>
    <row r="36">
      <c r="A36" s="39" t="inlineStr"/>
    </row>
    <row r="37">
      <c r="A37" s="39" t="inlineStr">
        <is>
          <t>When you cut one, move it down to the CONSIDERED AND REJECTED block on the same tab and say why. Nothing above the</t>
        </is>
      </c>
    </row>
    <row r="38">
      <c r="A38" s="39" t="inlineStr">
        <is>
          <t>Substrate can put back something the Substrate omitted, and in two years you will not remember whether a thing is missing</t>
        </is>
      </c>
    </row>
    <row r="39">
      <c r="A39" s="39" t="inlineStr">
        <is>
          <t>because you decided against it or because you never thought of it.</t>
        </is>
      </c>
    </row>
    <row r="40">
      <c r="A40" s="39" t="inlineStr"/>
    </row>
    <row r="41">
      <c r="A41" s="38" t="inlineStr">
        <is>
          <t>THE ORDER, and it matters — each list needs the one before it:</t>
        </is>
      </c>
    </row>
    <row r="42">
      <c r="A42" s="39" t="inlineStr">
        <is>
          <t xml:space="preserve">   L21 Spaces  →  L29 Capacities  →  L22 Dimensions  →  L23 Channels  →  L27 Sockets / L28 Economy Units</t>
        </is>
      </c>
    </row>
    <row r="43">
      <c r="A43" s="39" t="inlineStr">
        <is>
          <t xml:space="preserve">   →  L1 / L2 / L3 (+ the three character sheets)  →  L4 / L5 / L18 / L25  →  L7 Layers  →  L26 Listeners  →  L6 VERBS LAST</t>
        </is>
      </c>
    </row>
    <row r="44">
      <c r="A44" s="39" t="inlineStr"/>
    </row>
    <row r="45">
      <c r="A45" s="39" t="inlineStr">
        <is>
          <t>L21 before L29 looks backwards and is not: the Capacities ARE the Dimensions of the attempt Space, so the Space has to</t>
        </is>
      </c>
    </row>
    <row r="46">
      <c r="A46" s="39" t="inlineStr">
        <is>
          <t>exist first. Deciding Spaces is coarse and quick; deciding Capacities is not.</t>
        </is>
      </c>
    </row>
    <row r="47">
      <c r="A47" s="39" t="inlineStr"/>
    </row>
    <row r="48">
      <c r="A48" s="39" t="inlineStr">
        <is>
          <t>L6 Verbs is closed LAST, always. It is the one genuinely irreversible decision, and the evidence for its completeness is</t>
        </is>
      </c>
    </row>
    <row r="49">
      <c r="A49" s="39" t="inlineStr">
        <is>
          <t>the worked examples every other list produces.</t>
        </is>
      </c>
    </row>
    <row r="50">
      <c r="A50" s="39" t="inlineStr"/>
    </row>
    <row r="51">
      <c r="A51" s="38" t="inlineStr">
        <is>
          <t>ATTACK EACH LIST WHEN YOU THINK IT IS DONE. Not review it — attack it. Find the entry that dominates, the one nobody</t>
        </is>
      </c>
    </row>
    <row r="52">
      <c r="A52" s="39" t="inlineStr">
        <is>
          <t>will ever pick, the one that is really two things. That is what found the four foundation problems in Phase 0.</t>
        </is>
      </c>
    </row>
    <row r="53">
      <c r="A53" s="39" t="inlineStr"/>
    </row>
    <row r="54">
      <c r="A54" s="38" t="inlineStr">
        <is>
          <t>Full guidance per list, including the test each entry has to pass and the mistake that is easy to make: work-lists.md</t>
        </is>
      </c>
    </row>
    <row r="56">
      <c r="A56" s="60" t="inlineStr">
        <is>
          <t>RE-SEEDED — August 2026, after L21, L29, L22 and L23 closed</t>
        </is>
      </c>
    </row>
    <row r="57">
      <c r="A57" s="62" t="inlineStr"/>
    </row>
    <row r="58">
      <c r="A58" s="62" t="inlineStr">
        <is>
          <t>Every forward tab has been rewritten against the settled decisions. What changed:</t>
        </is>
      </c>
    </row>
    <row r="59">
      <c r="A59" s="62" t="inlineStr">
        <is>
          <t xml:space="preserve">  · five Spaces (physical, mental, social, mystic, attempt), fourteen non-attempt Dimensions</t>
        </is>
      </c>
    </row>
    <row r="60">
      <c r="A60" s="62" t="inlineStr">
        <is>
          <t xml:space="preserve">  · the sign convention — negative always means LESS of the target's property</t>
        </is>
      </c>
    </row>
    <row r="61">
      <c r="A61" s="62" t="inlineStr">
        <is>
          <t xml:space="preserve">  · 88 Channels positioned in hundredths across all Dimensions, not confined to one Space</t>
        </is>
      </c>
    </row>
    <row r="62">
      <c r="A62" s="62" t="inlineStr">
        <is>
          <t xml:space="preserve">  · three ceilings: Enhancement, Attempt (a percentage), Participant (a count)</t>
        </is>
      </c>
    </row>
    <row r="63">
      <c r="A63" s="62" t="inlineStr">
        <is>
          <t xml:space="preserve">  · a Threshold declares how it reads contributors: sum, highest or each</t>
        </is>
      </c>
    </row>
    <row r="64">
      <c r="A64" s="62" t="inlineStr"/>
    </row>
    <row r="65">
      <c r="A65" s="62" t="inlineStr">
        <is>
          <t>Where a proposal collided with a settled name it was renamed — the L1 Category 'substance'</t>
        </is>
      </c>
    </row>
    <row r="66">
      <c r="A66" s="62" t="inlineStr">
        <is>
          <t>became 'medium', because 'substance' is now a Dimension.</t>
        </is>
      </c>
    </row>
    <row r="67">
      <c r="A67" s="62" t="inlineStr"/>
    </row>
    <row r="68">
      <c r="A68" s="62" t="inlineStr">
        <is>
          <t>L24, L25, L3 and L7 were unfillable before and are now seeded, because the Dimensions</t>
        </is>
      </c>
    </row>
    <row r="69">
      <c r="A69" s="62" t="inlineStr">
        <is>
          <t>tell you what each has to carry.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3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8" min="1" max="1"/>
    <col width="34" customWidth="1" style="18" min="2" max="2"/>
    <col width="14" customWidth="1" style="18" min="3" max="3"/>
    <col width="16" customWidth="1" style="18" min="4" max="4"/>
  </cols>
  <sheetData>
    <row r="1" ht="17.35" customHeight="1" s="19">
      <c r="A1" s="20" t="inlineStr">
        <is>
          <t>Progress</t>
        </is>
      </c>
    </row>
    <row r="2" ht="15" customHeight="1" s="19">
      <c r="A2" s="21" t="inlineStr">
        <is>
          <t>Rows filled per list. Counts any row below the example with something in the first column.</t>
        </is>
      </c>
    </row>
    <row r="4" ht="15" customHeight="1" s="19">
      <c r="A4" s="25" t="inlineStr">
        <is>
          <t>List</t>
        </is>
      </c>
      <c r="B4" s="25" t="inlineStr">
        <is>
          <t>Status</t>
        </is>
      </c>
      <c r="C4" s="25" t="inlineStr">
        <is>
          <t>Rows filled</t>
        </is>
      </c>
      <c r="D4" s="25" t="inlineStr">
        <is>
          <t>Done?</t>
        </is>
      </c>
    </row>
    <row r="5" ht="15" customHeight="1" s="19">
      <c r="A5" s="26" t="inlineStr">
        <is>
          <t>L1 · Categories</t>
        </is>
      </c>
      <c r="B5" s="30" t="inlineStr">
        <is>
          <t>PENDING · BLOCKING</t>
        </is>
      </c>
      <c r="C5" s="26">
        <f>COUNTA('L1 Categories'!A8:A47)</f>
        <v/>
      </c>
      <c r="D5" s="26">
        <f>IF(C5&gt;0,"started","not started")</f>
        <v/>
      </c>
    </row>
    <row r="6" ht="15" customHeight="1" s="19">
      <c r="A6" s="26" t="inlineStr">
        <is>
          <t>L2 · Universal Attributes</t>
        </is>
      </c>
      <c r="B6" s="30" t="inlineStr">
        <is>
          <t>PENDING · BLOCKING</t>
        </is>
      </c>
      <c r="C6" s="26">
        <f>COUNTA('L2 Universal Attributes'!A8:A47)</f>
        <v/>
      </c>
      <c r="D6" s="26">
        <f>IF(C6&gt;0,"started","not started")</f>
        <v/>
      </c>
    </row>
    <row r="7" ht="15" customHeight="1" s="19">
      <c r="A7" s="26" t="inlineStr">
        <is>
          <t>L3 · Category Attributes</t>
        </is>
      </c>
      <c r="B7" s="30" t="inlineStr">
        <is>
          <t>PENDING · BLOCKING</t>
        </is>
      </c>
      <c r="C7" s="26">
        <f>COUNTA('L3 Category Attributes'!A8:A47)</f>
        <v/>
      </c>
      <c r="D7" s="26">
        <f>IF(C7&gt;0,"started","not started")</f>
        <v/>
      </c>
    </row>
    <row r="8" ht="15" customHeight="1" s="19">
      <c r="A8" s="26" t="inlineStr">
        <is>
          <t>L4 · Core Tag vocabulary</t>
        </is>
      </c>
      <c r="B8" s="30" t="inlineStr">
        <is>
          <t>PENDING · BLOCKING</t>
        </is>
      </c>
      <c r="C8" s="26">
        <f>COUNTA('L4 Core Tag vocabulary'!A8:A47)</f>
        <v/>
      </c>
      <c r="D8" s="26">
        <f>IF(C8&gt;0,"started","not started")</f>
        <v/>
      </c>
    </row>
    <row r="9" ht="15" customHeight="1" s="19">
      <c r="A9" s="26" t="inlineStr">
        <is>
          <t>L5 · State axes</t>
        </is>
      </c>
      <c r="B9" s="30" t="inlineStr">
        <is>
          <t>PENDING · BLOCKING</t>
        </is>
      </c>
      <c r="C9" s="26">
        <f>COUNTA('L5 State axes'!A8:A47)</f>
        <v/>
      </c>
      <c r="D9" s="26">
        <f>IF(C9&gt;0,"started","not started")</f>
        <v/>
      </c>
    </row>
    <row r="10" ht="15" customHeight="1" s="19">
      <c r="A10" s="26" t="inlineStr">
        <is>
          <t>L6 · Verbs</t>
        </is>
      </c>
      <c r="B10" s="30" t="inlineStr">
        <is>
          <t>PRELIMINARY · CLOSE LAST</t>
        </is>
      </c>
      <c r="C10" s="26">
        <f>COUNTA('L6 Verbs'!A8:A47)</f>
        <v/>
      </c>
      <c r="D10" s="26">
        <f>IF(C10&gt;0,"started","not started")</f>
        <v/>
      </c>
    </row>
    <row r="11" ht="15" customHeight="1" s="19">
      <c r="A11" s="26" t="inlineStr">
        <is>
          <t>L7 · Layers</t>
        </is>
      </c>
      <c r="B11" s="30" t="inlineStr">
        <is>
          <t>PARTIAL · BLOCKING</t>
        </is>
      </c>
      <c r="C11" s="26">
        <f>COUNTA('L7 Layers'!A8:A47)</f>
        <v/>
      </c>
      <c r="D11" s="26">
        <f>IF(C11&gt;0,"started","not started")</f>
        <v/>
      </c>
    </row>
    <row r="12" ht="15" customHeight="1" s="19">
      <c r="A12" s="26" t="inlineStr">
        <is>
          <t>L10 · Challenge Profile axes</t>
        </is>
      </c>
      <c r="B12" s="31" t="inlineStr">
        <is>
          <t>PENDING</t>
        </is>
      </c>
      <c r="C12" s="26">
        <f>COUNTA('L10 Challenge Profile axes'!A8:A47)</f>
        <v/>
      </c>
      <c r="D12" s="26">
        <f>IF(C12&gt;0,"started","not started")</f>
        <v/>
      </c>
    </row>
    <row r="13" ht="15" customHeight="1" s="19">
      <c r="A13" s="26" t="inlineStr">
        <is>
          <t>L11 · Asset types</t>
        </is>
      </c>
      <c r="B13" s="31" t="inlineStr">
        <is>
          <t>PENDING</t>
        </is>
      </c>
      <c r="C13" s="26">
        <f>COUNTA('L11 Asset types'!A8:A47)</f>
        <v/>
      </c>
      <c r="D13" s="26">
        <f>IF(C13&gt;0,"started","not started")</f>
        <v/>
      </c>
    </row>
    <row r="14" ht="15" customHeight="1" s="19">
      <c r="A14" s="26" t="inlineStr">
        <is>
          <t>L12 · Rails binding scopes</t>
        </is>
      </c>
      <c r="B14" s="31" t="inlineStr">
        <is>
          <t>PENDING</t>
        </is>
      </c>
      <c r="C14" s="26">
        <f>COUNTA('L12 Rails binding scopes'!A8:A47)</f>
        <v/>
      </c>
      <c r="D14" s="26">
        <f>IF(C14&gt;0,"started","not started")</f>
        <v/>
      </c>
    </row>
    <row r="15" ht="15" customHeight="1" s="19">
      <c r="A15" s="26" t="inlineStr">
        <is>
          <t>L13 · Record types</t>
        </is>
      </c>
      <c r="B15" s="31" t="inlineStr">
        <is>
          <t>PENDING</t>
        </is>
      </c>
      <c r="C15" s="26">
        <f>COUNTA('L13 Record types'!A8:A47)</f>
        <v/>
      </c>
      <c r="D15" s="26">
        <f>IF(C15&gt;0,"started","not started")</f>
        <v/>
      </c>
    </row>
    <row r="16" ht="15" customHeight="1" s="19">
      <c r="A16" s="26" t="inlineStr">
        <is>
          <t>L18 · Aggregation operators</t>
        </is>
      </c>
      <c r="B16" s="30" t="inlineStr">
        <is>
          <t>PENDING · BLOCKING</t>
        </is>
      </c>
      <c r="C16" s="26">
        <f>COUNTA('L18 Aggregation operators'!A8:A47)</f>
        <v/>
      </c>
      <c r="D16" s="26">
        <f>IF(C16&gt;0,"started","not started")</f>
        <v/>
      </c>
    </row>
    <row r="17" ht="15" customHeight="1" s="19">
      <c r="A17" s="26" t="inlineStr">
        <is>
          <t>L19 · Causal tag vocabulary</t>
        </is>
      </c>
      <c r="B17" s="31" t="inlineStr">
        <is>
          <t>PENDING</t>
        </is>
      </c>
      <c r="C17" s="26">
        <f>COUNTA('L19 Causal tag vocabulary'!A8:A47)</f>
        <v/>
      </c>
      <c r="D17" s="26">
        <f>IF(C17&gt;0,"started","not started")</f>
        <v/>
      </c>
    </row>
    <row r="18" ht="15" customHeight="1" s="19">
      <c r="A18" s="26" t="inlineStr">
        <is>
          <t>L20 · Lens tiers</t>
        </is>
      </c>
      <c r="B18" s="31" t="inlineStr">
        <is>
          <t>PENDING</t>
        </is>
      </c>
      <c r="C18" s="26">
        <f>COUNTA('L20 Lens tiers'!A8:A47)</f>
        <v/>
      </c>
      <c r="D18" s="26">
        <f>IF(C18&gt;0,"started","not started")</f>
        <v/>
      </c>
    </row>
    <row r="19" ht="15" customHeight="1" s="19">
      <c r="A19" s="73" t="inlineStr">
        <is>
          <t>L21 · Dimension Spaces</t>
        </is>
      </c>
      <c r="B19" s="74" t="inlineStr">
        <is>
          <t>SETTLED · Aug 2026</t>
        </is>
      </c>
      <c r="C19" s="73">
        <f>COUNTA('L21 Dimension Spaces'!A8:A47)</f>
        <v/>
      </c>
      <c r="D19" s="73">
        <f>IF(C19&gt;0,"started","not started")</f>
        <v/>
      </c>
    </row>
    <row r="20" ht="15" customHeight="1" s="19">
      <c r="A20" s="73" t="inlineStr">
        <is>
          <t>L22 · Dimensions, per Space</t>
        </is>
      </c>
      <c r="B20" s="74" t="inlineStr">
        <is>
          <t>SETTLED · Aug 2026</t>
        </is>
      </c>
      <c r="C20" s="73">
        <f>COUNTA('L22 Dimensions, per Space'!A8:A47)</f>
        <v/>
      </c>
      <c r="D20" s="73">
        <f>IF(C20&gt;0,"started","not started")</f>
        <v/>
      </c>
    </row>
    <row r="21" ht="15" customHeight="1" s="19">
      <c r="A21" s="73" t="inlineStr">
        <is>
          <t>L23 · Named Channels</t>
        </is>
      </c>
      <c r="B21" s="74" t="inlineStr">
        <is>
          <t>SETTLED · Aug 2026</t>
        </is>
      </c>
      <c r="C21" s="73">
        <f>COUNTA('L23 Named Channels'!A8:A47)</f>
        <v/>
      </c>
      <c r="D21" s="73">
        <f>IF(C21&gt;0,"started","not started")</f>
        <v/>
      </c>
    </row>
    <row r="22" ht="15" customHeight="1" s="19">
      <c r="A22" s="26" t="inlineStr">
        <is>
          <t>L24 · Guard presets</t>
        </is>
      </c>
      <c r="B22" s="31" t="inlineStr">
        <is>
          <t>PENDING</t>
        </is>
      </c>
      <c r="C22" s="26">
        <f>COUNTA('L24 Guard presets'!A8:A47)</f>
        <v/>
      </c>
      <c r="D22" s="26">
        <f>IF(C22&gt;0,"started","not started")</f>
        <v/>
      </c>
    </row>
    <row r="23" ht="15" customHeight="1" s="19">
      <c r="A23" s="26" t="inlineStr">
        <is>
          <t>L25 · Transient-to-Persistent conversions</t>
        </is>
      </c>
      <c r="B23" s="30" t="inlineStr">
        <is>
          <t>PENDING · BLOCKING</t>
        </is>
      </c>
      <c r="C23" s="26">
        <f>COUNTA('L25 Transient-to-Persistent con'!A8:A47)</f>
        <v/>
      </c>
      <c r="D23" s="26">
        <f>IF(C23&gt;0,"started","not started")</f>
        <v/>
      </c>
    </row>
    <row r="24" ht="15" customHeight="1" s="19">
      <c r="A24" s="26" t="inlineStr">
        <is>
          <t>L26 · Listener condition forms</t>
        </is>
      </c>
      <c r="B24" s="31" t="inlineStr">
        <is>
          <t>PENDING</t>
        </is>
      </c>
      <c r="C24" s="26">
        <f>COUNTA('L26 Listener condition forms'!A8:A47)</f>
        <v/>
      </c>
      <c r="D24" s="26">
        <f>IF(C24&gt;0,"started","not started")</f>
        <v/>
      </c>
    </row>
    <row r="25" ht="15" customHeight="1" s="19">
      <c r="A25" s="73" t="inlineStr">
        <is>
          <t>L27 · Sockets</t>
        </is>
      </c>
      <c r="B25" s="74" t="inlineStr">
        <is>
          <t>SHAPE SETTLED · three · Aug 2026</t>
        </is>
      </c>
      <c r="C25" s="73">
        <f>COUNTA('L27 Sockets'!A8:A47)</f>
        <v/>
      </c>
      <c r="D25" s="73">
        <f>IF(C25&gt;0,"started","not started")</f>
        <v/>
      </c>
    </row>
    <row r="26" ht="15" customHeight="1" s="19">
      <c r="A26" s="73" t="inlineStr">
        <is>
          <t>L28 · Economy</t>
        </is>
      </c>
      <c r="B26" s="74" t="inlineStr">
        <is>
          <t>SETTLED IN PRINCIPLE · Aug 2026</t>
        </is>
      </c>
      <c r="C26" s="73">
        <f>COUNTA('L28 Economy'!A8:A47)</f>
        <v/>
      </c>
      <c r="D26" s="73">
        <f>IF(C26&gt;0,"started","not started")</f>
        <v/>
      </c>
    </row>
    <row r="27" ht="15" customHeight="1" s="19">
      <c r="A27" s="73" t="inlineStr">
        <is>
          <t>L29 · Attempt Domains &amp; Dimensions</t>
        </is>
      </c>
      <c r="B27" s="74" t="inlineStr">
        <is>
          <t>SETTLED · Aug 2026</t>
        </is>
      </c>
      <c r="C27" s="73">
        <f>COUNTA('L29 Capacities'!A8:A47)</f>
        <v/>
      </c>
      <c r="D27" s="73">
        <f>IF(C27&gt;0,"started","not started")</f>
        <v/>
      </c>
    </row>
    <row r="28" ht="15" customHeight="1" s="19">
      <c r="A28" s="26" t="inlineStr">
        <is>
          <t>L30 · Instrumentation surfaces</t>
        </is>
      </c>
      <c r="B28" s="31" t="inlineStr">
        <is>
          <t>PENDING</t>
        </is>
      </c>
      <c r="C28" s="26">
        <f>COUNTA('L30 Instrumentation surfaces'!A8:A47)</f>
        <v/>
      </c>
      <c r="D28" s="26">
        <f>IF(C28&gt;0,"started","not started")</f>
        <v/>
      </c>
    </row>
    <row r="29" ht="15" customHeight="1" s="19">
      <c r="A29" s="23" t="inlineStr">
        <is>
          <t>L31 · Timings</t>
        </is>
      </c>
      <c r="B29" s="18" t="inlineStr">
        <is>
          <t>PENDING · BLOCKING · NEXT</t>
        </is>
      </c>
      <c r="C29" s="23">
        <f>COUNTA('L31 Timings'!A8:A47)</f>
        <v/>
      </c>
      <c r="D29" s="18">
        <f>IF(C29&gt;0,"started","not started")</f>
        <v/>
      </c>
    </row>
    <row r="30">
      <c r="A30" s="18" t="inlineStr">
        <is>
          <t>L32 · Moment kinds</t>
        </is>
      </c>
      <c r="B30" s="18" t="inlineStr">
        <is>
          <t>PENDING · BLOCKING · NEXT</t>
        </is>
      </c>
      <c r="C30" s="18">
        <f>COUNTA('L32 Moment kinds'!A8:A47)</f>
        <v/>
      </c>
      <c r="D30" s="18">
        <f>IF(C30&gt;0,"started","not started")</f>
        <v/>
      </c>
    </row>
    <row r="31" ht="15" customHeight="1" s="19">
      <c r="A31" s="23" t="n"/>
      <c r="C31" s="24" t="n"/>
    </row>
    <row r="32" ht="15" customHeight="1" s="19">
      <c r="A32" s="75" t="inlineStr">
        <is>
          <t>Total</t>
        </is>
      </c>
      <c r="B32" s="18">
        <f>SUM(C5:C30)</f>
        <v/>
      </c>
      <c r="C32" s="24" t="n"/>
    </row>
    <row r="34">
      <c r="A34" s="18" t="inlineStr">
        <is>
          <t>Blocking lists started</t>
        </is>
      </c>
      <c r="B34" s="18">
        <f>COUNTIFS(B5:B30,"*BLOCKING*",C5:C30,"&gt;0")</f>
        <v/>
      </c>
    </row>
    <row r="35">
      <c r="A35" s="18" t="inlineStr">
        <is>
          <t>Blocking lists total</t>
        </is>
      </c>
      <c r="B35" s="18">
        <f>COUNTIF(B5:B30,"*BLOCKING*")</f>
        <v/>
      </c>
    </row>
    <row r="36">
      <c r="A36" s="18" t="inlineStr">
        <is>
          <t>Settled</t>
        </is>
      </c>
      <c r="B36" s="18">
        <f>COUNTIF(B5:B30,"*SETTLED*")</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F39"/>
  <sheetViews>
    <sheetView workbookViewId="0">
      <pane ySplit="6" topLeftCell="A7" activePane="bottomLeft" state="frozen"/>
      <selection pane="bottomLeft" activeCell="A1" sqref="A1"/>
    </sheetView>
  </sheetViews>
  <sheetFormatPr baseColWidth="8" defaultRowHeight="15"/>
  <cols>
    <col width="20" customWidth="1" style="19" min="1" max="1"/>
    <col width="36" customWidth="1" style="19" min="2" max="2"/>
    <col width="42" customWidth="1" style="19" min="3" max="3"/>
    <col width="16" customWidth="1" style="19" min="4" max="4"/>
    <col width="74" customWidth="1" style="19" min="5" max="5"/>
  </cols>
  <sheetData>
    <row r="1">
      <c r="A1" s="63" t="inlineStr">
        <is>
          <t>L1 · Categories</t>
        </is>
      </c>
    </row>
    <row r="2">
      <c r="A2" s="64" t="inlineStr">
        <is>
          <t>PENDING · BLOCKING · research-seeded Aug 2026</t>
        </is>
      </c>
    </row>
    <row r="3">
      <c r="A3" s="65" t="inlineStr">
        <is>
          <t>The labels an Entity may carry saying what kind of thing it is. An Entity may carry several at once; each brings its own Attributes.</t>
        </is>
      </c>
    </row>
    <row r="4">
      <c r="A4" s="66" t="inlineStr">
        <is>
          <t>A CATEGORY THAT BRINGS NO ATTRIBUTES IS A TAG. The boundary the whole field draws: exactly one value true and values partition → Category. Any number true at once, minted forever → Tag. One true within an axis, started and ended by a Verb → State.</t>
        </is>
      </c>
    </row>
    <row r="6">
      <c r="A6" s="67" t="inlineStr">
        <is>
          <t>Category</t>
        </is>
      </c>
      <c r="B6" s="67" t="inlineStr">
        <is>
          <t>What it is</t>
        </is>
      </c>
      <c r="C6" s="67" t="inlineStr">
        <is>
          <t>Attributes it adds</t>
        </is>
      </c>
      <c r="D6" s="67" t="inlineStr">
        <is>
          <t>Can it ATTEMPT?</t>
        </is>
      </c>
      <c r="E6" s="67" t="inlineStr">
        <is>
          <t>Notes</t>
        </is>
      </c>
    </row>
    <row r="7">
      <c r="A7" s="68" t="inlineStr">
        <is>
          <t>haunted</t>
        </is>
      </c>
      <c r="B7" s="68" t="inlineStr">
        <is>
          <t>a place with a ghost</t>
        </is>
      </c>
      <c r="C7" s="68" t="inlineStr">
        <is>
          <t>none</t>
        </is>
      </c>
      <c r="D7" s="68" t="inlineStr">
        <is>
          <t>—</t>
        </is>
      </c>
      <c r="E7" s="68" t="inlineStr">
        <is>
          <t>NOT a Category — a Tag. It adds nothing to the sheet.</t>
        </is>
      </c>
      <c r="F7" s="69" t="inlineStr">
        <is>
          <t>← example, not data</t>
        </is>
      </c>
    </row>
    <row r="8">
      <c r="A8" s="70" t="inlineStr">
        <is>
          <t>Being</t>
        </is>
      </c>
      <c r="B8" s="70" t="inlineStr">
        <is>
          <t>Anything with a body and agency</t>
        </is>
      </c>
      <c r="C8" s="70" t="inlineStr">
        <is>
          <t>the attempt Dimensions, the physical/mental Dimensions</t>
        </is>
      </c>
      <c r="D8" s="70" t="inlineStr">
        <is>
          <t>yes — nothing gates it</t>
        </is>
      </c>
      <c r="E8" s="70" t="inlineStr">
        <is>
          <t>The only Category nobody argues about.</t>
        </is>
      </c>
    </row>
    <row r="9">
      <c r="A9" s="70" t="inlineStr">
        <is>
          <t>Object</t>
        </is>
      </c>
      <c r="B9" s="70" t="inlineStr">
        <is>
          <t>A made or found thing</t>
        </is>
      </c>
      <c r="C9" s="70" t="inlineStr">
        <is>
          <t>physical Dimensions, Mass/Bulk/Hardness</t>
        </is>
      </c>
      <c r="D9" s="70" t="inlineStr">
        <is>
          <t>yes — nothing gates it</t>
        </is>
      </c>
      <c r="E9" s="70" t="inlineStr">
        <is>
          <t>"Can be targeted" without "can attempt" is the test that separates L2 from L3.</t>
        </is>
      </c>
    </row>
    <row r="10">
      <c r="A10" s="70" t="inlineStr">
        <is>
          <t>Place</t>
        </is>
      </c>
      <c r="B10" s="70" t="inlineStr">
        <is>
          <t>A location that can contain things</t>
        </is>
      </c>
      <c r="C10" s="70" t="inlineStr">
        <is>
          <t>containment, Scale</t>
        </is>
      </c>
      <c r="D10" s="70" t="inlineStr">
        <is>
          <t>yes — nothing gates it</t>
        </is>
      </c>
      <c r="E10" s="70" t="inlineStr">
        <is>
          <t>Overlaps the Place Socket. Argue whether this is a Category at all or purely Socket business.</t>
        </is>
      </c>
    </row>
    <row r="11">
      <c r="A11" s="70" t="inlineStr">
        <is>
          <t>Group</t>
        </is>
      </c>
      <c r="B11" s="70" t="inlineStr">
        <is>
          <t>A faction, crew, guild, household</t>
        </is>
      </c>
      <c r="C11" s="70" t="inlineStr">
        <is>
          <t>social Dimensions, standing</t>
        </is>
      </c>
      <c r="D11" s="70" t="inlineStr">
        <is>
          <t>yes — nothing gates it</t>
        </is>
      </c>
      <c r="E11" s="70" t="inlineStr">
        <is>
          <t>Reign's companies act like characters. Star Trek Adventures' ships do NOT act — they assist. See notes below.</t>
        </is>
      </c>
    </row>
    <row r="12">
      <c r="A12" s="70" t="inlineStr">
        <is>
          <t>Relationship</t>
        </is>
      </c>
      <c r="B12" s="70" t="inlineStr">
        <is>
          <t>A Category of Entity holding one CONNECTION per participant</t>
        </is>
      </c>
      <c r="C12" s="70" t="inlineStr">
        <is>
          <t>one stance per participant, stored independently</t>
        </is>
      </c>
      <c r="D12" s="70" t="inlineStr">
        <is>
          <t>yes — nothing gates it</t>
        </is>
      </c>
      <c r="E12" s="70" t="inlineStr">
        <is>
          <t>NEVER an edge. 4 of 5 surveyed systems agree (Exalted Intimacies, DG Bonds, Cortex relationship dice, Monsterhearts strings). Blades faction status is an edge, and Blades' faction game is the part most often houseruled.</t>
        </is>
      </c>
    </row>
    <row r="13">
      <c r="A13" s="70" t="inlineStr">
        <is>
          <t>Knowledge</t>
        </is>
      </c>
      <c r="B13" s="70" t="inlineStr">
        <is>
          <t>A rumour, a secret, a piece of lore</t>
        </is>
      </c>
      <c r="C13" s="70" t="inlineStr">
        <is>
          <t>provenance, spread</t>
        </is>
      </c>
      <c r="D13" s="70" t="inlineStr">
        <is>
          <t>yes — nothing gates it</t>
        </is>
      </c>
      <c r="E13" s="70" t="inlineStr">
        <is>
          <t>The hardest test case for L2 — a rumour has almost no attributes.</t>
        </is>
      </c>
    </row>
    <row r="14">
      <c r="A14" s="70" t="inlineStr">
        <is>
          <t>Phenomenon</t>
        </is>
      </c>
      <c r="B14" s="70" t="inlineStr">
        <is>
          <t>A storm, a fire, a plague</t>
        </is>
      </c>
      <c r="C14" s="70" t="inlineStr">
        <is>
          <t>physical Dimensions, Scale</t>
        </is>
      </c>
      <c r="D14" s="70" t="inlineStr">
        <is>
          <t>yes — nothing gates it</t>
        </is>
      </c>
      <c r="E14" s="70" t="inlineStr">
        <is>
          <t>ATTACK THIS ONE FIRST — it may just be an Object with Tags.</t>
        </is>
      </c>
    </row>
    <row r="15">
      <c r="A15" s="70" t="inlineStr">
        <is>
          <t>Proposal</t>
        </is>
      </c>
      <c r="B15" s="70" t="inlineStr">
        <is>
          <t>A pending decision awaiting a Decider</t>
        </is>
      </c>
      <c r="C15" s="70" t="inlineStr">
        <is>
          <t>decider, Moment, default</t>
        </is>
      </c>
      <c r="D15" s="70" t="inlineStr">
        <is>
          <t>yes — nothing gates it</t>
        </is>
      </c>
      <c r="E15" s="70" t="inlineStr">
        <is>
          <t>Ours, not the field's. Rule 21: a human Decider always carries a Moment and a default.</t>
        </is>
      </c>
    </row>
    <row r="16">
      <c r="A16" s="70" t="inlineStr">
        <is>
          <t>Vector</t>
        </is>
      </c>
      <c r="B16" s="70" t="inlineStr">
        <is>
          <t>A pending push not yet resolved</t>
        </is>
      </c>
      <c r="C16" s="70" t="inlineStr">
        <is>
          <t>direction, magnitude, pin, layer</t>
        </is>
      </c>
      <c r="D16" s="70" t="inlineStr">
        <is>
          <t>yes — nothing gates it</t>
        </is>
      </c>
      <c r="E16" s="70" t="inlineStr">
        <is>
          <t>Ours. Already an Entity by the dictionary.</t>
        </is>
      </c>
    </row>
    <row r="17"/>
    <row r="18">
      <c r="A18" s="70" t="inlineStr">
        <is>
          <t>SETTLED Aug 2026: ANYTHING MAY ATTEMPT. No Category gates it. An Entity with no points in any attempt Dimension simply cannot attempt — 'absent is not zero' already said so, and adding a gate would enforce for free what the open-world reading enforces anyway. Star Trek Adventures' stance (the ship ASSISTS, it never rolls) stays available as CONTENT: a Setting that wants it simply gives ships no attempt Dimensions.</t>
        </is>
      </c>
    </row>
    <row r="19"/>
    <row r="20">
      <c r="A20" s="71" t="inlineStr">
        <is>
          <t>CONSIDERED AND REJECTED</t>
        </is>
      </c>
    </row>
    <row r="21">
      <c r="A21" s="72" t="inlineStr">
        <is>
          <t>Ship / Vehicle</t>
        </is>
      </c>
      <c r="B21" s="72" t="inlineStr"/>
      <c r="C21" s="72" t="inlineStr"/>
      <c r="D21" s="72" t="inlineStr"/>
      <c r="E21" s="72" t="inlineStr">
        <is>
          <t>ARGUE: is this a Category, or an Object with a Group aboard? Traveller, Lancer and Scum &amp; Villainy all give ships their own sheet; STA gives them the SAME six attributes as characters, deliberately.</t>
        </is>
      </c>
    </row>
    <row r="22">
      <c r="A22" s="72" t="inlineStr">
        <is>
          <t>Character / NPC</t>
        </is>
      </c>
      <c r="B22" s="72" t="inlineStr"/>
      <c r="C22" s="72" t="inlineStr"/>
      <c r="D22" s="72" t="inlineStr"/>
      <c r="E22" s="72" t="inlineStr">
        <is>
          <t>REJECT as separate Categories — both are Being. The distinction is a Lens concern.</t>
        </is>
      </c>
    </row>
    <row r="23">
      <c r="A23" s="72" t="inlineStr">
        <is>
          <t>Item / Weapon / Armour</t>
        </is>
      </c>
      <c r="B23" s="72" t="inlineStr"/>
      <c r="C23" s="72" t="inlineStr"/>
      <c r="D23" s="72" t="inlineStr"/>
      <c r="E23" s="72" t="inlineStr">
        <is>
          <t>REJECT: all Object. The differences are Tags and Facets.</t>
        </is>
      </c>
    </row>
    <row r="24"/>
    <row r="25"/>
    <row r="26"/>
    <row r="27"/>
    <row r="28"/>
    <row r="29"/>
    <row r="30"/>
    <row r="31"/>
    <row r="32"/>
    <row r="33"/>
    <row r="34"/>
    <row r="35"/>
    <row r="36"/>
    <row r="37"/>
    <row r="38"/>
    <row r="39"/>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pane ySplit="6" topLeftCell="A7" activePane="bottomLeft" state="frozen"/>
      <selection pane="bottomLeft" activeCell="A1" sqref="A1"/>
    </sheetView>
  </sheetViews>
  <sheetFormatPr baseColWidth="8" defaultRowHeight="15"/>
  <cols>
    <col width="34" customWidth="1" style="19" min="1" max="1"/>
    <col width="12" customWidth="1" style="19" min="2" max="2"/>
    <col width="12" customWidth="1" style="19" min="3" max="3"/>
    <col width="12" customWidth="1" style="19" min="4" max="4"/>
    <col width="12" customWidth="1" style="19" min="5" max="5"/>
    <col width="72" customWidth="1" style="19" min="6" max="6"/>
  </cols>
  <sheetData>
    <row r="1">
      <c r="A1" s="63" t="inlineStr">
        <is>
          <t>L2 · Universal Attributes</t>
        </is>
      </c>
    </row>
    <row r="2">
      <c r="A2" s="64" t="inlineStr">
        <is>
          <t>PENDING · BLOCKING · research-seeded Aug 2026</t>
        </is>
      </c>
    </row>
    <row r="3">
      <c r="A3" s="65" t="inlineStr">
        <is>
          <t>What EVERY Entity has. Test each candidate against a rumour, a lock, a faction and a storm. If any of those does not need it, it is a Category Attribute and belongs in L3.</t>
        </is>
      </c>
    </row>
    <row r="4">
      <c r="A4" s="66" t="inlineStr">
        <is>
          <t>L2 SHOULD BE BRUTALLY SHORT — four or five entries. The shortness IS the evidence the model is not a person schema in a costume. If it grows, L29 needs redoing.</t>
        </is>
      </c>
    </row>
    <row r="6">
      <c r="A6" s="67" t="inlineStr">
        <is>
          <t>Candidate</t>
        </is>
      </c>
      <c r="B6" s="67" t="inlineStr">
        <is>
          <t>rumour</t>
        </is>
      </c>
      <c r="C6" s="67" t="inlineStr">
        <is>
          <t>lock</t>
        </is>
      </c>
      <c r="D6" s="67" t="inlineStr">
        <is>
          <t>faction</t>
        </is>
      </c>
      <c r="E6" s="67" t="inlineStr">
        <is>
          <t>storm</t>
        </is>
      </c>
      <c r="F6" s="67" t="inlineStr">
        <is>
          <t>Verdict and notes</t>
        </is>
      </c>
    </row>
    <row r="7">
      <c r="A7" s="68" t="inlineStr">
        <is>
          <t>hit points</t>
        </is>
      </c>
      <c r="B7" s="68" t="inlineStr">
        <is>
          <t>no</t>
        </is>
      </c>
      <c r="C7" s="68" t="inlineStr">
        <is>
          <t>maybe</t>
        </is>
      </c>
      <c r="D7" s="68" t="inlineStr">
        <is>
          <t>no</t>
        </is>
      </c>
      <c r="E7" s="68" t="inlineStr">
        <is>
          <t>no</t>
        </is>
      </c>
      <c r="F7" s="68" t="inlineStr">
        <is>
          <t>NOT universal, and not even shipped — the Substrate ships no Resources.</t>
        </is>
      </c>
      <c r="G7" s="69" t="inlineStr">
        <is>
          <t>← example, not data</t>
        </is>
      </c>
    </row>
    <row r="8">
      <c r="A8" s="70" t="inlineStr">
        <is>
          <t>identity (permanent ID)</t>
        </is>
      </c>
      <c r="B8" s="70" t="inlineStr">
        <is>
          <t>yes</t>
        </is>
      </c>
      <c r="C8" s="70" t="inlineStr">
        <is>
          <t>yes</t>
        </is>
      </c>
      <c r="D8" s="70" t="inlineStr">
        <is>
          <t>yes</t>
        </is>
      </c>
      <c r="E8" s="70" t="inlineStr">
        <is>
          <t>yes</t>
        </is>
      </c>
      <c r="F8" s="70" t="inlineStr">
        <is>
          <t>UNIVERSAL. Numeric, permanent, never reused.</t>
        </is>
      </c>
    </row>
    <row r="9">
      <c r="A9" s="70" t="inlineStr">
        <is>
          <t>Category</t>
        </is>
      </c>
      <c r="B9" s="70" t="inlineStr">
        <is>
          <t>yes</t>
        </is>
      </c>
      <c r="C9" s="70" t="inlineStr">
        <is>
          <t>yes</t>
        </is>
      </c>
      <c r="D9" s="70" t="inlineStr">
        <is>
          <t>yes</t>
        </is>
      </c>
      <c r="E9" s="70" t="inlineStr">
        <is>
          <t>yes</t>
        </is>
      </c>
      <c r="F9" s="70" t="inlineStr">
        <is>
          <t>UNIVERSAL. Multi-select.</t>
        </is>
      </c>
    </row>
    <row r="10">
      <c r="A10" s="70" t="inlineStr">
        <is>
          <t>Tags</t>
        </is>
      </c>
      <c r="B10" s="70" t="inlineStr">
        <is>
          <t>yes</t>
        </is>
      </c>
      <c r="C10" s="70" t="inlineStr">
        <is>
          <t>yes</t>
        </is>
      </c>
      <c r="D10" s="70" t="inlineStr">
        <is>
          <t>yes</t>
        </is>
      </c>
      <c r="E10" s="70" t="inlineStr">
        <is>
          <t>yes</t>
        </is>
      </c>
      <c r="F10" s="70" t="inlineStr">
        <is>
          <t>UNIVERSAL. Open, optional magnitude.</t>
        </is>
      </c>
    </row>
    <row r="11">
      <c r="A11" s="70" t="inlineStr">
        <is>
          <t>Scale</t>
        </is>
      </c>
      <c r="B11" s="70" t="inlineStr">
        <is>
          <t>yes</t>
        </is>
      </c>
      <c r="C11" s="70" t="inlineStr">
        <is>
          <t>yes</t>
        </is>
      </c>
      <c r="D11" s="70" t="inlineStr">
        <is>
          <t>yes</t>
        </is>
      </c>
      <c r="E11" s="70" t="inlineStr">
        <is>
          <t>yes</t>
        </is>
      </c>
      <c r="F11" s="70" t="inlineStr">
        <is>
          <t>UNIVERSAL — and Scale belongs to PARTS as well as wholes. A Scale-4 ship has Scale-1 doors.</t>
        </is>
      </c>
    </row>
    <row r="12">
      <c r="A12" s="70" t="inlineStr">
        <is>
          <t>Facets</t>
        </is>
      </c>
      <c r="B12" s="70" t="inlineStr">
        <is>
          <t>yes</t>
        </is>
      </c>
      <c r="C12" s="70" t="inlineStr">
        <is>
          <t>yes</t>
        </is>
      </c>
      <c r="D12" s="70" t="inlineStr">
        <is>
          <t>yes</t>
        </is>
      </c>
      <c r="E12" s="70" t="inlineStr">
        <is>
          <t>yes</t>
        </is>
      </c>
      <c r="F12" s="70" t="inlineStr">
        <is>
          <t>UNIVERSAL, but it is structure rather than an attribute. Argue whether it belongs on this list at all.</t>
        </is>
      </c>
    </row>
    <row r="13">
      <c r="A13" s="70" t="inlineStr">
        <is>
          <t>Place / containment reference</t>
        </is>
      </c>
      <c r="B13" s="70" t="inlineStr">
        <is>
          <t>stretch</t>
        </is>
      </c>
      <c r="C13" s="70" t="inlineStr">
        <is>
          <t>yes</t>
        </is>
      </c>
      <c r="D13" s="70" t="inlineStr">
        <is>
          <t>stretch</t>
        </is>
      </c>
      <c r="E13" s="70" t="inlineStr">
        <is>
          <t>yes</t>
        </is>
      </c>
      <c r="F13" s="70" t="inlineStr">
        <is>
          <t>ARGUE. A rumour's "place" is where it is believed; a faction's is its turf. Both are real and both are stretched.</t>
        </is>
      </c>
    </row>
    <row r="14">
      <c r="A14" s="70" t="inlineStr">
        <is>
          <t>the 14 non-attempt Dimensions</t>
        </is>
      </c>
      <c r="B14" s="70" t="inlineStr">
        <is>
          <t>stretch</t>
        </is>
      </c>
      <c r="C14" s="70" t="inlineStr">
        <is>
          <t>yes</t>
        </is>
      </c>
      <c r="D14" s="70" t="inlineStr">
        <is>
          <t>yes</t>
        </is>
      </c>
      <c r="E14" s="70" t="inlineStr">
        <is>
          <t>yes</t>
        </is>
      </c>
      <c r="F14" s="70" t="inlineStr">
        <is>
          <t>ARGUE. A rumour has no temperature — but "absent is not zero" already covers that, so the cost of including them may be zero.</t>
        </is>
      </c>
    </row>
    <row r="15">
      <c r="A15" s="70" t="inlineStr">
        <is>
          <t>the 15 attempt Dimensions</t>
        </is>
      </c>
      <c r="B15" s="70" t="inlineStr">
        <is>
          <t>no</t>
        </is>
      </c>
      <c r="C15" s="70" t="inlineStr">
        <is>
          <t>no</t>
        </is>
      </c>
      <c r="D15" s="70" t="inlineStr">
        <is>
          <t>maybe</t>
        </is>
      </c>
      <c r="E15" s="70" t="inlineStr">
        <is>
          <t>no</t>
        </is>
      </c>
      <c r="F15" s="70" t="inlineStr">
        <is>
          <t>NOT UNIVERSAL → L3. A building never attempts a grapple; a Relationship never rolls.</t>
        </is>
      </c>
    </row>
    <row r="17">
      <c r="A17" s="70" t="inlineStr">
        <is>
          <t>PERSON-ASSUMPTIONS THAT LEAK MOST OFTEN, from the survey: initiative (a rumour does not act) · carrying capacity (a faction does not carry) · movement speed (a lock does not move) · level and advancement (a storm does not learn) · hit points.</t>
        </is>
      </c>
    </row>
    <row r="19">
      <c r="A19" s="71" t="inlineStr">
        <is>
          <t>CONSIDERED AND REJECTED</t>
        </is>
      </c>
    </row>
    <row r="20">
      <c r="A20" s="72" t="inlineStr">
        <is>
          <t>name</t>
        </is>
      </c>
      <c r="B20" s="72" t="inlineStr"/>
      <c r="C20" s="72" t="inlineStr"/>
      <c r="D20" s="72" t="inlineStr"/>
      <c r="E20" s="72" t="inlineStr"/>
      <c r="F20" s="72" t="inlineStr">
        <is>
          <t>ARGUE: is a display name Substrate, or a Lens concern? A pending vector has no name anyone says out loud.</t>
        </is>
      </c>
    </row>
    <row r="21">
      <c r="A21" s="72" t="inlineStr">
        <is>
          <t>owner</t>
        </is>
      </c>
      <c r="B21" s="72" t="inlineStr"/>
      <c r="C21" s="72" t="inlineStr"/>
      <c r="D21" s="72" t="inlineStr"/>
      <c r="E21" s="72" t="inlineStr"/>
      <c r="F21" s="72" t="inlineStr">
        <is>
          <t>REJECT: that is a Relationship.</t>
        </is>
      </c>
    </row>
    <row r="22">
      <c r="A22" s="72" t="inlineStr">
        <is>
          <t>initiative</t>
        </is>
      </c>
      <c r="B22" s="72" t="inlineStr"/>
      <c r="C22" s="72" t="inlineStr"/>
      <c r="D22" s="72" t="inlineStr"/>
      <c r="E22" s="72" t="inlineStr"/>
      <c r="F22" s="72" t="inlineStr">
        <is>
          <t>REJECT: person-assumption, and turn order is base Ruleset.</t>
        </is>
      </c>
    </row>
  </sheetData>
  <pageMargins left="0.75" right="0.75" top="1" bottom="1" header="0.5" footer="0.5"/>
</worksheet>
</file>

<file path=xl/worksheets/sheet5.xml><?xml version="1.0" encoding="utf-8"?>
<worksheet xmlns="http://schemas.openxmlformats.org/spreadsheetml/2006/main">
  <sheetPr filterMode="0">
    <outlinePr summaryBelow="1" summaryRight="1"/>
    <pageSetUpPr fitToPage="0"/>
  </sheetPr>
  <dimension ref="A1:F47"/>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8" min="1" max="1"/>
    <col width="40" customWidth="1" style="18" min="2" max="2"/>
    <col width="30" customWidth="1" style="18" min="3" max="3"/>
    <col width="24" customWidth="1" style="18" min="4" max="4"/>
    <col width="34" customWidth="1" style="18" min="5" max="5"/>
  </cols>
  <sheetData>
    <row r="1" ht="17.35" customHeight="1" s="19">
      <c r="A1" s="20" t="inlineStr">
        <is>
          <t>L3 · Category Attributes</t>
        </is>
      </c>
    </row>
    <row r="2" ht="15" customHeight="1" s="19">
      <c r="A2" s="28" t="inlineStr">
        <is>
          <t>PENDING · BLOCKING</t>
        </is>
      </c>
    </row>
    <row r="3" ht="30" customHeight="1" s="19">
      <c r="A3" s="21" t="inlineStr">
        <is>
          <t>What each Category adds. Fill after L1 and L2.</t>
        </is>
      </c>
    </row>
    <row r="4" ht="30" customHeight="1" s="19">
      <c r="A4" s="32" t="inlineStr">
        <is>
          <t>NOW SEEDABLE — the Dimensions tell you what each Category needs to carry. An Attribute here is what a FORMULA reads to produce a Dimension value or a Threshold.</t>
        </is>
      </c>
    </row>
    <row r="6" ht="15" customHeight="1" s="19">
      <c r="A6" s="33" t="inlineStr">
        <is>
          <t>Category (L1)</t>
        </is>
      </c>
      <c r="B6" s="33" t="inlineStr">
        <is>
          <t>Attribute</t>
        </is>
      </c>
      <c r="C6" s="33" t="inlineStr">
        <is>
          <t>Type</t>
        </is>
      </c>
      <c r="D6" s="33" t="inlineStr">
        <is>
          <t>Default</t>
        </is>
      </c>
      <c r="E6" s="33" t="inlineStr">
        <is>
          <t>Why this Category needs it</t>
        </is>
      </c>
    </row>
    <row r="7" ht="15" customHeight="1" s="19">
      <c r="A7" s="34" t="inlineStr">
        <is>
          <t>person</t>
        </is>
      </c>
      <c r="B7" s="34" t="inlineStr">
        <is>
          <t>allocation points</t>
        </is>
      </c>
      <c r="C7" s="34" t="inlineStr">
        <is>
          <t>whole number</t>
        </is>
      </c>
      <c r="D7" s="34" t="inlineStr">
        <is>
          <t>TBD</t>
        </is>
      </c>
      <c r="E7" s="34" t="inlineStr">
        <is>
          <t>How finely they can split attention</t>
        </is>
      </c>
      <c r="F7" s="35" t="inlineStr">
        <is>
          <t>← example, not data</t>
        </is>
      </c>
    </row>
    <row r="8" ht="15" customHeight="1" s="19">
      <c r="A8" s="36" t="inlineStr">
        <is>
          <t>being</t>
        </is>
      </c>
      <c r="B8" s="36" t="inlineStr">
        <is>
          <t>vitality pool</t>
        </is>
      </c>
      <c r="C8" s="36" t="inlineStr">
        <is>
          <t>integer Resource</t>
        </is>
      </c>
      <c r="D8" s="36" t="inlineStr">
        <is>
          <t>0</t>
        </is>
      </c>
      <c r="E8" s="36" t="inlineStr">
        <is>
          <t>vitality landings need somewhere to go</t>
        </is>
      </c>
    </row>
    <row r="9" ht="15" customHeight="1" s="19">
      <c r="A9" s="36" t="inlineStr">
        <is>
          <t>being</t>
        </is>
      </c>
      <c r="B9" s="36" t="inlineStr">
        <is>
          <t>vigor pool</t>
        </is>
      </c>
      <c r="C9" s="36" t="inlineStr">
        <is>
          <t>integer Resource</t>
        </is>
      </c>
      <c r="D9" s="36" t="inlineStr">
        <is>
          <t>0</t>
        </is>
      </c>
      <c r="E9" s="36" t="inlineStr">
        <is>
          <t>exhaustion needs somewhere to go</t>
        </is>
      </c>
    </row>
    <row r="10" ht="15" customHeight="1" s="19">
      <c r="A10" s="36" t="inlineStr">
        <is>
          <t>being</t>
        </is>
      </c>
      <c r="B10" s="36" t="inlineStr">
        <is>
          <t>the three mental pools</t>
        </is>
      </c>
      <c r="C10" s="36" t="inlineStr">
        <is>
          <t>integer Resources</t>
        </is>
      </c>
      <c r="D10" s="36" t="inlineStr">
        <is>
          <t>0</t>
        </is>
      </c>
      <c r="E10" s="36" t="inlineStr">
        <is>
          <t>composure, clarity, will landings</t>
        </is>
      </c>
    </row>
    <row r="11" ht="15" customHeight="1" s="19">
      <c r="A11" s="36" t="inlineStr">
        <is>
          <t>being</t>
        </is>
      </c>
      <c r="B11" s="36" t="inlineStr">
        <is>
          <t>reach / stride</t>
        </is>
      </c>
      <c r="C11" s="36" t="inlineStr">
        <is>
          <t>integer</t>
        </is>
      </c>
      <c r="D11" s="36" t="inlineStr">
        <is>
          <t>0</t>
        </is>
      </c>
      <c r="E11" s="36" t="inlineStr">
        <is>
          <t>feeds mobility</t>
        </is>
      </c>
    </row>
    <row r="12" ht="15" customHeight="1" s="19">
      <c r="A12" s="36" t="inlineStr">
        <is>
          <t>object</t>
        </is>
      </c>
      <c r="B12" s="36" t="inlineStr">
        <is>
          <t>integrity pool</t>
        </is>
      </c>
      <c r="C12" s="36" t="inlineStr">
        <is>
          <t>integer Resource</t>
        </is>
      </c>
      <c r="D12" s="36" t="inlineStr">
        <is>
          <t>0</t>
        </is>
      </c>
      <c r="E12" s="36" t="inlineStr"/>
    </row>
    <row r="13" ht="15" customHeight="1" s="19">
      <c r="A13" s="36" t="inlineStr">
        <is>
          <t>object</t>
        </is>
      </c>
      <c r="B13" s="36" t="inlineStr">
        <is>
          <t>substance pool</t>
        </is>
      </c>
      <c r="C13" s="36" t="inlineStr">
        <is>
          <t>integer Resource</t>
        </is>
      </c>
      <c r="D13" s="36" t="inlineStr">
        <is>
          <t>0</t>
        </is>
      </c>
      <c r="E13" s="36" t="inlineStr"/>
    </row>
    <row r="14" ht="15" customHeight="1" s="19">
      <c r="A14" s="36" t="inlineStr">
        <is>
          <t>structure</t>
        </is>
      </c>
      <c r="B14" s="36" t="inlineStr">
        <is>
          <t>parts</t>
        </is>
      </c>
      <c r="C14" s="36" t="inlineStr">
        <is>
          <t>list of Entity ids</t>
        </is>
      </c>
      <c r="D14" s="36" t="inlineStr">
        <is>
          <t>empty</t>
        </is>
      </c>
      <c r="E14" s="36" t="inlineStr">
        <is>
          <t>each part carries its own Scale and Thresholds</t>
        </is>
      </c>
    </row>
    <row r="15" ht="15" customHeight="1" s="19">
      <c r="A15" s="36" t="inlineStr">
        <is>
          <t>place</t>
        </is>
      </c>
      <c r="B15" s="36" t="inlineStr">
        <is>
          <t>scope</t>
        </is>
      </c>
      <c r="C15" s="36" t="inlineStr">
        <is>
          <t>Place Socket vocabulary</t>
        </is>
      </c>
      <c r="D15" s="36" t="inlineStr">
        <is>
          <t>—</t>
        </is>
      </c>
      <c r="E15" s="36" t="inlineStr">
        <is>
          <t>what "here" and "near" mean is the Place Socket's job</t>
        </is>
      </c>
    </row>
    <row r="16" ht="15" customHeight="1" s="19">
      <c r="A16" s="36" t="inlineStr">
        <is>
          <t>place</t>
        </is>
      </c>
      <c r="B16" s="36" t="inlineStr">
        <is>
          <t>connections</t>
        </is>
      </c>
      <c r="C16" s="36" t="inlineStr">
        <is>
          <t>list of place ids</t>
        </is>
      </c>
      <c r="D16" s="36" t="inlineStr">
        <is>
          <t>empty</t>
        </is>
      </c>
      <c r="E16" s="36" t="inlineStr"/>
    </row>
    <row r="17" ht="15" customHeight="1" s="19">
      <c r="A17" s="36" t="inlineStr">
        <is>
          <t>group</t>
        </is>
      </c>
      <c r="B17" s="36" t="inlineStr">
        <is>
          <t>membership</t>
        </is>
      </c>
      <c r="C17" s="36" t="inlineStr">
        <is>
          <t>list of Entity ids</t>
        </is>
      </c>
      <c r="D17" s="36" t="inlineStr">
        <is>
          <t>empty</t>
        </is>
      </c>
      <c r="E17" s="36" t="inlineStr"/>
    </row>
    <row r="18" ht="15" customHeight="1" s="19">
      <c r="A18" s="36" t="inlineStr">
        <is>
          <t>group</t>
        </is>
      </c>
      <c r="B18" s="36" t="inlineStr">
        <is>
          <t>cohesion</t>
        </is>
      </c>
      <c r="C18" s="36" t="inlineStr">
        <is>
          <t>integer Resource</t>
        </is>
      </c>
      <c r="D18" s="36" t="inlineStr">
        <is>
          <t>0</t>
        </is>
      </c>
      <c r="E18" s="36" t="inlineStr">
        <is>
          <t>the group's equivalent of integrity</t>
        </is>
      </c>
    </row>
    <row r="19" ht="15" customHeight="1" s="19">
      <c r="A19" s="36" t="inlineStr">
        <is>
          <t>relationship</t>
        </is>
      </c>
      <c r="B19" s="36" t="inlineStr">
        <is>
          <t>connections</t>
        </is>
      </c>
      <c r="C19" s="36" t="inlineStr">
        <is>
          <t>one Connection per participant</t>
        </is>
      </c>
      <c r="D19" s="36" t="inlineStr">
        <is>
          <t>—</t>
        </is>
      </c>
      <c r="E19" s="36" t="inlineStr">
        <is>
          <t>each stance stored INDEPENDENTLY. Never an edge</t>
        </is>
      </c>
    </row>
    <row r="20" ht="15" customHeight="1" s="19">
      <c r="A20" s="36" t="inlineStr">
        <is>
          <t>information</t>
        </is>
      </c>
      <c r="B20" s="36" t="inlineStr">
        <is>
          <t>truth</t>
        </is>
      </c>
      <c r="C20" s="36" t="inlineStr">
        <is>
          <t>boolean or graded</t>
        </is>
      </c>
      <c r="D20" s="36" t="inlineStr">
        <is>
          <t>unknown</t>
        </is>
      </c>
      <c r="E20" s="36" t="inlineStr">
        <is>
          <t>a rumour can be false and still spread</t>
        </is>
      </c>
    </row>
    <row r="21" ht="15" customHeight="1" s="19">
      <c r="A21" s="36" t="inlineStr">
        <is>
          <t>occasion</t>
        </is>
      </c>
      <c r="B21" s="36" t="inlineStr">
        <is>
          <t>when</t>
        </is>
      </c>
      <c r="C21" s="36" t="inlineStr">
        <is>
          <t>a Moment</t>
        </is>
      </c>
      <c r="D21" s="36" t="inlineStr">
        <is>
          <t>—</t>
        </is>
      </c>
      <c r="E21" s="36" t="inlineStr"/>
    </row>
    <row r="22" ht="15" customHeight="1" s="19">
      <c r="A22" s="36" t="inlineStr"/>
      <c r="B22" s="36" t="inlineStr"/>
      <c r="C22" s="36" t="inlineStr"/>
      <c r="D22" s="36" t="inlineStr"/>
      <c r="E22" s="36" t="inlineStr"/>
    </row>
    <row r="23" ht="15" customHeight="1" s="19">
      <c r="A23" s="36" t="inlineStr">
        <is>
          <t>THE OVERLAP TEST: if the same word means the same thing on two Categories, define it once at the most general Category that needs it.</t>
        </is>
      </c>
      <c r="B23" s="36" t="inlineStr"/>
      <c r="C23" s="36" t="inlineStr"/>
      <c r="D23" s="36" t="inlineStr"/>
      <c r="E23" s="36" t="inlineStr"/>
    </row>
    <row r="24" ht="15" customHeight="1" s="19">
      <c r="A24" s="37" t="n"/>
      <c r="B24" s="37" t="n"/>
      <c r="C24" s="37" t="n"/>
      <c r="D24" s="37" t="n"/>
      <c r="E24" s="37" t="n"/>
    </row>
    <row r="25" ht="15" customHeight="1" s="19">
      <c r="A25" s="37" t="n"/>
      <c r="B25" s="37" t="n"/>
      <c r="C25" s="37" t="n"/>
      <c r="D25" s="37" t="n"/>
      <c r="E25" s="37" t="n"/>
    </row>
    <row r="26" ht="15" customHeight="1" s="19">
      <c r="A26" s="37" t="n"/>
      <c r="B26" s="37" t="n"/>
      <c r="C26" s="37" t="n"/>
      <c r="D26" s="37" t="n"/>
      <c r="E26" s="37" t="n"/>
    </row>
    <row r="27" ht="15" customHeight="1" s="19">
      <c r="A27" s="37" t="n"/>
      <c r="B27" s="37" t="n"/>
      <c r="C27" s="37" t="n"/>
      <c r="D27" s="37" t="n"/>
      <c r="E27" s="37" t="n"/>
    </row>
    <row r="28" ht="15" customHeight="1" s="19">
      <c r="A28" s="37" t="n"/>
      <c r="B28" s="37" t="n"/>
      <c r="C28" s="37" t="n"/>
      <c r="D28" s="37" t="n"/>
      <c r="E28" s="37" t="n"/>
    </row>
    <row r="29" ht="15" customHeight="1" s="19">
      <c r="A29" s="37" t="n"/>
      <c r="B29" s="37" t="n"/>
      <c r="C29" s="37" t="n"/>
      <c r="D29" s="37" t="n"/>
      <c r="E29" s="37" t="n"/>
    </row>
    <row r="30" ht="15" customHeight="1" s="19">
      <c r="A30" s="37" t="n"/>
      <c r="B30" s="37" t="n"/>
      <c r="C30" s="37" t="n"/>
      <c r="D30" s="37" t="n"/>
      <c r="E30" s="37" t="n"/>
    </row>
    <row r="31" ht="15" customHeight="1" s="19">
      <c r="A31" s="37" t="n"/>
      <c r="B31" s="37" t="n"/>
      <c r="C31" s="37" t="n"/>
      <c r="D31" s="37" t="n"/>
      <c r="E31" s="37" t="n"/>
    </row>
    <row r="32" ht="15" customHeight="1" s="19">
      <c r="A32" s="37" t="n"/>
      <c r="B32" s="37" t="n"/>
      <c r="C32" s="37" t="n"/>
      <c r="D32" s="37" t="n"/>
      <c r="E32" s="37" t="n"/>
    </row>
    <row r="33" ht="15" customHeight="1" s="19">
      <c r="A33" s="37" t="n"/>
      <c r="B33" s="37" t="n"/>
      <c r="C33" s="37" t="n"/>
      <c r="D33" s="37" t="n"/>
      <c r="E33" s="37" t="n"/>
    </row>
    <row r="34" ht="15" customHeight="1" s="19">
      <c r="A34" s="37" t="n"/>
      <c r="B34" s="37" t="n"/>
      <c r="C34" s="37" t="n"/>
      <c r="D34" s="37" t="n"/>
      <c r="E34" s="37" t="n"/>
    </row>
    <row r="35" ht="15" customHeight="1" s="19">
      <c r="A35" s="37" t="n"/>
      <c r="B35" s="37" t="n"/>
      <c r="C35" s="37" t="n"/>
      <c r="D35" s="37" t="n"/>
      <c r="E35" s="37" t="n"/>
    </row>
    <row r="36" ht="15" customHeight="1" s="19">
      <c r="A36" s="37" t="n"/>
      <c r="B36" s="37" t="n"/>
      <c r="C36" s="37" t="n"/>
      <c r="D36" s="37" t="n"/>
      <c r="E36" s="37" t="n"/>
    </row>
    <row r="37" ht="15" customHeight="1" s="19">
      <c r="A37" s="37" t="n"/>
      <c r="B37" s="37" t="n"/>
      <c r="C37" s="37" t="n"/>
      <c r="D37" s="37" t="n"/>
      <c r="E37" s="37" t="n"/>
    </row>
    <row r="38" ht="15" customHeight="1" s="19">
      <c r="A38" s="37" t="n"/>
      <c r="B38" s="37" t="n"/>
      <c r="C38" s="37" t="n"/>
      <c r="D38" s="37" t="n"/>
      <c r="E38" s="37" t="n"/>
    </row>
    <row r="39" ht="15" customHeight="1" s="19">
      <c r="A39" s="37" t="n"/>
      <c r="B39" s="37" t="n"/>
      <c r="C39" s="37" t="n"/>
      <c r="D39" s="37" t="n"/>
      <c r="E39" s="37" t="n"/>
    </row>
    <row r="40" ht="15" customHeight="1" s="19">
      <c r="A40" s="37" t="n"/>
      <c r="B40" s="37" t="n"/>
      <c r="C40" s="37" t="n"/>
      <c r="D40" s="37" t="n"/>
      <c r="E40" s="37" t="n"/>
    </row>
    <row r="41" ht="15" customHeight="1" s="19">
      <c r="A41" s="37" t="n"/>
      <c r="B41" s="37" t="n"/>
      <c r="C41" s="37" t="n"/>
      <c r="D41" s="37" t="n"/>
      <c r="E41" s="37" t="n"/>
    </row>
    <row r="42" ht="15" customHeight="1" s="19">
      <c r="A42" s="37" t="n"/>
      <c r="B42" s="37" t="n"/>
      <c r="C42" s="37" t="n"/>
      <c r="D42" s="37" t="n"/>
      <c r="E42" s="37" t="n"/>
    </row>
    <row r="43" ht="15" customHeight="1" s="19">
      <c r="A43" s="37" t="n"/>
      <c r="B43" s="37" t="n"/>
      <c r="C43" s="37" t="n"/>
      <c r="D43" s="37" t="n"/>
      <c r="E43" s="37" t="n"/>
    </row>
    <row r="44" ht="15" customHeight="1" s="19">
      <c r="A44" s="37" t="n"/>
      <c r="B44" s="37" t="n"/>
      <c r="C44" s="37" t="n"/>
      <c r="D44" s="37" t="n"/>
      <c r="E44" s="37" t="n"/>
    </row>
    <row r="45" ht="15" customHeight="1" s="19">
      <c r="A45" s="37" t="n"/>
      <c r="B45" s="37" t="n"/>
      <c r="C45" s="37" t="n"/>
      <c r="D45" s="37" t="n"/>
      <c r="E45" s="37" t="n"/>
    </row>
    <row r="46" ht="15" customHeight="1" s="19">
      <c r="A46" s="37" t="n"/>
      <c r="B46" s="37" t="n"/>
      <c r="C46" s="37" t="n"/>
      <c r="D46" s="37" t="n"/>
      <c r="E46" s="37" t="n"/>
    </row>
    <row r="47" ht="15" customHeight="1" s="19">
      <c r="A47" s="37" t="n"/>
      <c r="B47" s="37" t="n"/>
      <c r="C47" s="37" t="n"/>
      <c r="D47" s="37" t="n"/>
      <c r="E47" s="3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outlinePr summaryBelow="1" summaryRight="1"/>
    <pageSetUpPr/>
  </sheetPr>
  <dimension ref="A1:F40"/>
  <sheetViews>
    <sheetView workbookViewId="0">
      <pane ySplit="6" topLeftCell="A7" activePane="bottomLeft" state="frozen"/>
      <selection pane="bottomLeft" activeCell="A1" sqref="A1"/>
    </sheetView>
  </sheetViews>
  <sheetFormatPr baseColWidth="8" defaultRowHeight="15"/>
  <cols>
    <col width="20" customWidth="1" style="19" min="1" max="1"/>
    <col width="24" customWidth="1" style="19" min="2" max="2"/>
    <col width="14" customWidth="1" style="19" min="3" max="3"/>
    <col width="44" customWidth="1" style="19" min="4" max="4"/>
    <col width="72" customWidth="1" style="19" min="5" max="5"/>
  </cols>
  <sheetData>
    <row r="1">
      <c r="A1" s="63" t="inlineStr">
        <is>
          <t>L4 · Core Tag vocabulary</t>
        </is>
      </c>
    </row>
    <row r="2">
      <c r="A2" s="64" t="inlineStr">
        <is>
          <t>PENDING · BLOCKING · research-seeded Aug 2026</t>
        </is>
      </c>
    </row>
    <row r="3">
      <c r="A3" s="65" t="inlineStr">
        <is>
          <t>The seed vocabulary Components may rely on existing. Open cluster membership, optional magnitude, identified by ID not name, NEVER implies another Tag.</t>
        </is>
      </c>
    </row>
    <row r="4">
      <c r="A4" s="66" t="inlineStr">
        <is>
          <t>THE NUMBER THAT MATTERS: Magic published 222 keywords in 33 years and keeps ~17 ALWAYS-LIVE. No cap on the total; a hard cap around 15–20 on the always-on set. Path of Exile runs 46 simultaneously live tags and they are that game's most notorious confusion.</t>
        </is>
      </c>
    </row>
    <row r="6">
      <c r="A6" s="67" t="inlineStr">
        <is>
          <t>Tag</t>
        </is>
      </c>
      <c r="B6" s="67" t="inlineStr">
        <is>
          <t>Kind</t>
        </is>
      </c>
      <c r="C6" s="67" t="inlineStr">
        <is>
          <t>Tier</t>
        </is>
      </c>
      <c r="D6" s="67" t="inlineStr">
        <is>
          <t>What it is for</t>
        </is>
      </c>
      <c r="E6" s="67" t="inlineStr">
        <is>
          <t>Notes</t>
        </is>
      </c>
    </row>
    <row r="7">
      <c r="A7" s="68" t="inlineStr">
        <is>
          <t>Humanoid</t>
        </is>
      </c>
      <c r="B7" s="68" t="inlineStr">
        <is>
          <t>membership only</t>
        </is>
      </c>
      <c r="C7" s="68" t="inlineStr">
        <is>
          <t>—</t>
        </is>
      </c>
      <c r="D7" s="68" t="inlineStr">
        <is>
          <t>what kind of creature</t>
        </is>
      </c>
      <c r="E7" s="68" t="inlineStr">
        <is>
          <t>NOT a Tag — a CATEGORY. One value true, values partition. PF2e files Goblin as a trait and pays for it with three unrelated meanings on one name.</t>
        </is>
      </c>
      <c r="F7" s="69" t="inlineStr">
        <is>
          <t>← example, not data</t>
        </is>
      </c>
    </row>
    <row r="8">
      <c r="A8" s="70" t="inlineStr">
        <is>
          <t>Mass</t>
        </is>
      </c>
      <c r="B8" s="70" t="inlineStr">
        <is>
          <t>magnitude: fixed-point</t>
        </is>
      </c>
      <c r="C8" s="70" t="inlineStr">
        <is>
          <t>Substrate</t>
        </is>
      </c>
      <c r="D8" s="70" t="inlineStr">
        <is>
          <t>Thresholds and Guards read it; the number IS the meaning</t>
        </is>
      </c>
      <c r="E8" s="70" t="inlineStr">
        <is>
          <t>Never a Capacity — it is not a disposition</t>
        </is>
      </c>
    </row>
    <row r="9">
      <c r="A9" s="70" t="inlineStr">
        <is>
          <t>Bulk</t>
        </is>
      </c>
      <c r="B9" s="70" t="inlineStr">
        <is>
          <t>magnitude: integer</t>
        </is>
      </c>
      <c r="C9" s="70" t="inlineStr">
        <is>
          <t>Substrate</t>
        </is>
      </c>
      <c r="D9" s="70" t="inlineStr">
        <is>
          <t>What a container's Capacity consumes</t>
        </is>
      </c>
      <c r="E9" s="70" t="inlineStr">
        <is>
          <t>Distinct from Mass: bulky-but-light is real</t>
        </is>
      </c>
    </row>
    <row r="10">
      <c r="A10" s="70" t="inlineStr">
        <is>
          <t>Hardness</t>
        </is>
      </c>
      <c r="B10" s="70" t="inlineStr">
        <is>
          <t>magnitude: integer</t>
        </is>
      </c>
      <c r="C10" s="70" t="inlineStr">
        <is>
          <t>Substrate</t>
        </is>
      </c>
      <c r="D10" s="70" t="inlineStr">
        <is>
          <t>The classic flat-Guard input at R-850</t>
        </is>
      </c>
      <c r="E10" s="70" t="inlineStr">
        <is>
          <t>Membership alone is meaningless</t>
        </is>
      </c>
    </row>
    <row r="11">
      <c r="A11" s="70" t="inlineStr">
        <is>
          <t>Reach</t>
        </is>
      </c>
      <c r="B11" s="70" t="inlineStr">
        <is>
          <t>magnitude: distance</t>
        </is>
      </c>
      <c r="C11" s="70" t="inlineStr">
        <is>
          <t>Substrate</t>
        </is>
      </c>
      <c r="D11" s="70" t="inlineStr">
        <is>
          <t>A Threshold on engagement</t>
        </is>
      </c>
      <c r="E11" s="70" t="inlineStr">
        <is>
          <t>PF2e Reach 15 feet · Lancer Threat</t>
        </is>
      </c>
    </row>
    <row r="12">
      <c r="A12" s="70" t="inlineStr">
        <is>
          <t>Multiplicity</t>
        </is>
      </c>
      <c r="B12" s="70" t="inlineStr">
        <is>
          <t>magnitude: whole count</t>
        </is>
      </c>
      <c r="C12" s="70" t="inlineStr">
        <is>
          <t>Substrate</t>
        </is>
      </c>
      <c r="D12" s="70" t="inlineStr">
        <is>
          <t>Number of identical constituent parts</t>
        </is>
      </c>
      <c r="E12" s="70" t="inlineStr">
        <is>
          <t>Feeds integer apportionment. Not a Resource — not depletable by the Substrate</t>
        </is>
      </c>
    </row>
    <row r="13">
      <c r="A13" s="70" t="inlineStr">
        <is>
          <t>Reliability</t>
        </is>
      </c>
      <c r="B13" s="70" t="inlineStr">
        <is>
          <t>magnitude: integer</t>
        </is>
      </c>
      <c r="C13" s="70" t="inlineStr">
        <is>
          <t>Ruleset</t>
        </is>
      </c>
      <c r="D13" s="70" t="inlineStr">
        <is>
          <t>A guaranteed floor on a vector's magnitude</t>
        </is>
      </c>
      <c r="E13" s="70" t="inlineStr">
        <is>
          <t>Lancer Reliable X — the one directly transplantable Lancer tag</t>
        </is>
      </c>
    </row>
    <row r="14">
      <c r="A14" s="70" t="inlineStr">
        <is>
          <t>Volatility</t>
        </is>
      </c>
      <c r="B14" s="70" t="inlineStr">
        <is>
          <t>magnitude: integer</t>
        </is>
      </c>
      <c r="C14" s="70" t="inlineStr">
        <is>
          <t>Ruleset</t>
        </is>
      </c>
      <c r="D14" s="70" t="inlineStr">
        <is>
          <t>How much disturbance releases stored energy</t>
        </is>
      </c>
      <c r="E14" s="70" t="inlineStr">
        <is>
          <t>Graded because 'somewhat volatile' is a real thing</t>
        </is>
      </c>
    </row>
    <row r="15">
      <c r="A15" s="70" t="inlineStr">
        <is>
          <t>Signature</t>
        </is>
      </c>
      <c r="B15" s="70" t="inlineStr">
        <is>
          <t>magnitude: integer</t>
        </is>
      </c>
      <c r="C15" s="70" t="inlineStr">
        <is>
          <t>Ruleset</t>
        </is>
      </c>
      <c r="D15" s="70" t="inlineStr">
        <is>
          <t>How detectable — a Threshold contributor</t>
        </is>
      </c>
      <c r="E15" s="70" t="inlineStr">
        <is>
          <t>Replaces a dozen Setting-specific stealth flags</t>
        </is>
      </c>
    </row>
    <row r="16">
      <c r="A16" s="70" t="inlineStr">
        <is>
          <t>Illumination</t>
        </is>
      </c>
      <c r="B16" s="70" t="inlineStr">
        <is>
          <t>magnitude: integer</t>
        </is>
      </c>
      <c r="C16" s="70" t="inlineStr">
        <is>
          <t>Ruleset</t>
        </is>
      </c>
      <c r="D16" s="70" t="inlineStr">
        <is>
          <t>Emitted light as a Threshold contributor</t>
        </is>
      </c>
      <c r="E16" s="70" t="inlineStr">
        <is>
          <t>Candle vs beacon: the number matters</t>
        </is>
      </c>
    </row>
    <row r="17">
      <c r="A17" s="70" t="inlineStr">
        <is>
          <t>Manufactured</t>
        </is>
      </c>
      <c r="B17" s="70" t="inlineStr">
        <is>
          <t>membership only</t>
        </is>
      </c>
      <c r="C17" s="70" t="inlineStr">
        <is>
          <t>Substrate</t>
        </is>
      </c>
      <c r="D17" s="70" t="inlineStr">
        <is>
          <t>Made by an agent rather than occurring</t>
        </is>
      </c>
      <c r="E17" s="70" t="inlineStr">
        <is>
          <t>The most-referenced predicate in every ruleset</t>
        </is>
      </c>
    </row>
    <row r="18">
      <c r="A18" s="70" t="inlineStr">
        <is>
          <t>Portable</t>
        </is>
      </c>
      <c r="B18" s="70" t="inlineStr">
        <is>
          <t>membership only</t>
        </is>
      </c>
      <c r="C18" s="70" t="inlineStr">
        <is>
          <t>Substrate</t>
        </is>
      </c>
      <c r="D18" s="70" t="inlineStr">
        <is>
          <t>Can be carried by one participant at its own Scale</t>
        </is>
      </c>
      <c r="E18" s="70" t="inlineStr"/>
    </row>
    <row r="19">
      <c r="A19" s="70" t="inlineStr">
        <is>
          <t>Anchored</t>
        </is>
      </c>
      <c r="B19" s="70" t="inlineStr">
        <is>
          <t>membership only</t>
        </is>
      </c>
      <c r="C19" s="70" t="inlineStr">
        <is>
          <t>Substrate</t>
        </is>
      </c>
      <c r="D19" s="70" t="inlineStr">
        <is>
          <t>Fixed to a Place</t>
        </is>
      </c>
      <c r="E19" s="70" t="inlineStr">
        <is>
          <t>NOT the negation of Portable — a thing can be neither</t>
        </is>
      </c>
    </row>
    <row r="20">
      <c r="A20" s="70" t="inlineStr">
        <is>
          <t>Container</t>
        </is>
      </c>
      <c r="B20" s="70" t="inlineStr">
        <is>
          <t>membership only</t>
        </is>
      </c>
      <c r="C20" s="70" t="inlineStr">
        <is>
          <t>Substrate</t>
        </is>
      </c>
      <c r="D20" s="70" t="inlineStr">
        <is>
          <t>Has interior capacity that can hold other Entities</t>
        </is>
      </c>
      <c r="E20" s="70" t="inlineStr">
        <is>
          <t>Referenced by Place logic</t>
        </is>
      </c>
    </row>
    <row r="21">
      <c r="A21" s="70" t="inlineStr">
        <is>
          <t>Consumable</t>
        </is>
      </c>
      <c r="B21" s="70" t="inlineStr">
        <is>
          <t>membership only</t>
        </is>
      </c>
      <c r="C21" s="70" t="inlineStr">
        <is>
          <t>Substrate</t>
        </is>
      </c>
      <c r="D21" s="70" t="inlineStr">
        <is>
          <t>Expended by use</t>
        </is>
      </c>
      <c r="E21" s="70" t="inlineStr">
        <is>
          <t>Not a Resource — the label the Resource system keys on</t>
        </is>
      </c>
    </row>
    <row r="22">
      <c r="A22" s="70" t="inlineStr">
        <is>
          <t>Unique</t>
        </is>
      </c>
      <c r="B22" s="70" t="inlineStr">
        <is>
          <t>membership only</t>
        </is>
      </c>
      <c r="C22" s="70" t="inlineStr">
        <is>
          <t>Substrate</t>
        </is>
      </c>
      <c r="D22" s="70" t="inlineStr">
        <is>
          <t>Exactly one instance may exist in a Campaign</t>
        </is>
      </c>
      <c r="E22" s="70" t="inlineStr">
        <is>
          <t>Pure authoring key, zero resolution meaning — proves the shape is supported</t>
        </is>
      </c>
    </row>
    <row r="23">
      <c r="A23" s="70" t="inlineStr">
        <is>
          <t>Living</t>
        </is>
      </c>
      <c r="B23" s="70" t="inlineStr">
        <is>
          <t>membership only</t>
        </is>
      </c>
      <c r="C23" s="70" t="inlineStr">
        <is>
          <t>Ruleset</t>
        </is>
      </c>
      <c r="D23" s="70" t="inlineStr"/>
      <c r="E23" s="70" t="inlineStr">
        <is>
          <t>Deliberately implies NOTHING. 'Living therefore breathes' must place Respiring too</t>
        </is>
      </c>
    </row>
    <row r="24">
      <c r="A24" s="70" t="inlineStr">
        <is>
          <t>Sapient</t>
        </is>
      </c>
      <c r="B24" s="70" t="inlineStr">
        <is>
          <t>membership only</t>
        </is>
      </c>
      <c r="C24" s="70" t="inlineStr">
        <is>
          <t>Ruleset</t>
        </is>
      </c>
      <c r="D24" s="70" t="inlineStr"/>
      <c r="E24" s="70" t="inlineStr">
        <is>
          <t>Never implies Living — constructs, spirits</t>
        </is>
      </c>
    </row>
    <row r="25">
      <c r="A25" s="70" t="inlineStr">
        <is>
          <t>Metallic</t>
        </is>
      </c>
      <c r="B25" s="70" t="inlineStr">
        <is>
          <t>membership only</t>
        </is>
      </c>
      <c r="C25" s="70" t="inlineStr">
        <is>
          <t>Ruleset</t>
        </is>
      </c>
      <c r="D25" s="70" t="inlineStr"/>
      <c r="E25" s="70" t="inlineStr"/>
    </row>
    <row r="26">
      <c r="A26" s="70" t="inlineStr">
        <is>
          <t>Mineral</t>
        </is>
      </c>
      <c r="B26" s="70" t="inlineStr">
        <is>
          <t>membership only</t>
        </is>
      </c>
      <c r="C26" s="70" t="inlineStr">
        <is>
          <t>Ruleset</t>
        </is>
      </c>
      <c r="D26" s="70" t="inlineStr"/>
      <c r="E26" s="70" t="inlineStr">
        <is>
          <t>Co-holdable with Metallic</t>
        </is>
      </c>
    </row>
    <row r="27">
      <c r="A27" s="70" t="inlineStr">
        <is>
          <t>Organic</t>
        </is>
      </c>
      <c r="B27" s="70" t="inlineStr">
        <is>
          <t>membership only</t>
        </is>
      </c>
      <c r="C27" s="70" t="inlineStr">
        <is>
          <t>Ruleset</t>
        </is>
      </c>
      <c r="D27" s="70" t="inlineStr"/>
      <c r="E27" s="70" t="inlineStr">
        <is>
          <t>Co-holdable with Manufactured — leather armour</t>
        </is>
      </c>
    </row>
    <row r="28">
      <c r="A28" s="70" t="inlineStr">
        <is>
          <t>Fibrous</t>
        </is>
      </c>
      <c r="B28" s="70" t="inlineStr">
        <is>
          <t>membership only</t>
        </is>
      </c>
      <c r="C28" s="70" t="inlineStr">
        <is>
          <t>Ruleset</t>
        </is>
      </c>
      <c r="D28" s="70" t="inlineStr"/>
      <c r="E28" s="70" t="inlineStr">
        <is>
          <t>Small but heavily referenced; cheap to ship</t>
        </is>
      </c>
    </row>
    <row r="29">
      <c r="A29" s="70" t="inlineStr">
        <is>
          <t>Flammable</t>
        </is>
      </c>
      <c r="B29" s="70" t="inlineStr">
        <is>
          <t>membership only</t>
        </is>
      </c>
      <c r="C29" s="70" t="inlineStr">
        <is>
          <t>Ruleset</t>
        </is>
      </c>
      <c r="D29" s="70" t="inlineStr"/>
      <c r="E29" s="70" t="inlineStr">
        <is>
          <t>EXPLICITLY not derived from Organic. That derivation is the hierarchy being forbidden</t>
        </is>
      </c>
    </row>
    <row r="30">
      <c r="A30" s="70" t="inlineStr">
        <is>
          <t>Conductive</t>
        </is>
      </c>
      <c r="B30" s="70" t="inlineStr">
        <is>
          <t>membership only</t>
        </is>
      </c>
      <c r="C30" s="70" t="inlineStr">
        <is>
          <t>Ruleset</t>
        </is>
      </c>
      <c r="D30" s="70" t="inlineStr"/>
      <c r="E30" s="70" t="inlineStr">
        <is>
          <t>EXPLICITLY not derived from Metallic</t>
        </is>
      </c>
    </row>
    <row r="31">
      <c r="A31" s="70" t="inlineStr">
        <is>
          <t>Porous</t>
        </is>
      </c>
      <c r="B31" s="70" t="inlineStr">
        <is>
          <t>membership only</t>
        </is>
      </c>
      <c r="C31" s="70" t="inlineStr">
        <is>
          <t>Ruleset</t>
        </is>
      </c>
      <c r="D31" s="70" t="inlineStr"/>
      <c r="E31" s="70" t="inlineStr">
        <is>
          <t>Gates a large class of Component effects</t>
        </is>
      </c>
    </row>
    <row r="33">
      <c r="A33" s="70" t="inlineStr">
        <is>
          <t>TARGET: 11 in the Substrate seed, ~24 across the base Ruleset, then Components publish forever. ONLY MINT A TAG WHEN SOMETHING ELSE MUST REFERENCE IT — if no Modifier, Guard, Threshold or Listener will ever key on the cluster, it is documentation, not a Tag, and should not consume an ID.</t>
        </is>
      </c>
    </row>
    <row r="35">
      <c r="A35" s="71" t="inlineStr">
        <is>
          <t>CONSIDERED AND REJECTED</t>
        </is>
      </c>
    </row>
    <row r="36">
      <c r="A36" s="72" t="inlineStr">
        <is>
          <t>tag hierarchy / inheritance</t>
        </is>
      </c>
      <c r="B36" s="72" t="inlineStr"/>
      <c r="C36" s="72" t="inlineStr"/>
      <c r="D36" s="72" t="inlineStr">
        <is>
          <t>REJECT, and it is the best-supported rule in the whole set. MTG surgically REMOVED its last implication (Wall meaning "can't attack") and errata'd thousands of cards rather than keep it. PF2e Goblin softly implies darkvision and every consumer special-cases it. PoE Righteous Fire carries Spell and AoE tags and NEITHER spell nor area modifiers affect it — ten years of documented confusion.</t>
        </is>
      </c>
      <c r="E36" s="72" t="inlineStr"/>
    </row>
    <row r="37">
      <c r="A37" s="72" t="inlineStr">
        <is>
          <t>derivation at read time</t>
        </is>
      </c>
      <c r="B37" s="72" t="inlineStr"/>
      <c r="C37" s="72" t="inlineStr"/>
      <c r="D37" s="72" t="inlineStr">
        <is>
          <t>THE GATE THAT IS MISSING. A Component computing "if hasTag(Metallic) then treatAs(Conductive)" has reintroduced hierarchy in BEHAVIOUR while passing the schema check. CI must forbid any Tag ID appearing in the definition or resolution predicate of another Tag, and the Fold must never synthesise membership.</t>
        </is>
      </c>
      <c r="E37" s="72" t="inlineStr"/>
    </row>
    <row r="38">
      <c r="A38" s="72" t="inlineStr">
        <is>
          <t>optional magnitude per instance</t>
        </is>
      </c>
      <c r="B38" s="72" t="inlineStr"/>
      <c r="C38" s="72" t="inlineStr"/>
      <c r="D38" s="72" t="inlineStr">
        <is>
          <t>ARGUE — PROPOSED CHANGE. Make it declared PER TAG, permanently from mint: "carries no magnitude" or "carries a magnitude in unit U". Optional per instance means every reader writes if(magnitude !== undefined), which turns "absent is not zero" into a per-call-site judgement. Lancer: 19 of 67 tags carry a value, and the value TYPE varies per tag — Reliable is a floor, Blast a radius, Overkill a DIE FACE. Nothing generic can be written over "the magnitude."</t>
        </is>
      </c>
      <c r="E38" s="72" t="inlineStr"/>
    </row>
    <row r="39">
      <c r="A39" s="72" t="inlineStr">
        <is>
          <t>fire, cold, lightning</t>
        </is>
      </c>
      <c r="B39" s="72" t="inlineStr"/>
      <c r="C39" s="72" t="inlineStr"/>
      <c r="D39" s="72" t="inlineStr">
        <is>
          <t>REJECT: those are Channel positions over Dimensions, not Tags.</t>
        </is>
      </c>
      <c r="E39" s="72" t="inlineStr"/>
    </row>
    <row r="40">
      <c r="A40" s="72" t="inlineStr">
        <is>
          <t>creature kinds (Undead, Beast)</t>
        </is>
      </c>
      <c r="B40" s="72" t="inlineStr"/>
      <c r="C40" s="72" t="inlineStr"/>
      <c r="D40" s="72" t="inlineStr">
        <is>
          <t>REJECT: Categories by the cardinality test.</t>
        </is>
      </c>
      <c r="E40" s="7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
  <sheetViews>
    <sheetView workbookViewId="0">
      <pane ySplit="6" topLeftCell="A7" activePane="bottomLeft" state="frozen"/>
      <selection pane="bottomLeft" activeCell="A1" sqref="A1"/>
    </sheetView>
  </sheetViews>
  <sheetFormatPr baseColWidth="8" defaultRowHeight="15"/>
  <cols>
    <col width="22" customWidth="1" style="19" min="1" max="1"/>
    <col width="44" customWidth="1" style="19" min="2" max="2"/>
    <col width="20" customWidth="1" style="19" min="3" max="3"/>
    <col width="64" customWidth="1" style="19" min="4" max="4"/>
    <col width="34" customWidth="1" style="19" min="5" max="5"/>
  </cols>
  <sheetData>
    <row r="1">
      <c r="A1" s="63" t="inlineStr">
        <is>
          <t>L5 · State axes</t>
        </is>
      </c>
    </row>
    <row r="2">
      <c r="A2" s="64" t="inlineStr">
        <is>
          <t>PENDING · BLOCKING · research-seeded Aug 2026</t>
        </is>
      </c>
    </row>
    <row r="3">
      <c r="A3" s="65" t="inlineStr">
        <is>
          <t>The shape, not the contents. What axes the base Ruleset ships, and what fields a State definition carries. Most States live in Components.</t>
        </is>
      </c>
    </row>
    <row r="4">
      <c r="A4" s="66" t="inlineStr">
        <is>
          <t>THE DECISION IS AXES, NOT CONDITIONS. The test: can two members be true at once? If yes, they are two axes, or they are Tags.</t>
        </is>
      </c>
    </row>
    <row r="6">
      <c r="A6" s="67" t="inlineStr">
        <is>
          <t>Axis</t>
        </is>
      </c>
      <c r="B6" s="67" t="inlineStr">
        <is>
          <t>Members (illustrative — Components fill these)</t>
        </is>
      </c>
      <c r="C6" s="67" t="inlineStr">
        <is>
          <t>Genuinely exclusive?</t>
        </is>
      </c>
      <c r="D6" s="67" t="inlineStr">
        <is>
          <t>Notes</t>
        </is>
      </c>
      <c r="E6" s="67" t="inlineStr">
        <is>
          <t>Precedent</t>
        </is>
      </c>
    </row>
    <row r="7">
      <c r="A7" s="68" t="inlineStr">
        <is>
          <t>poisoned</t>
        </is>
      </c>
      <c r="B7" s="68" t="inlineStr">
        <is>
          <t>—</t>
        </is>
      </c>
      <c r="C7" s="68" t="inlineStr">
        <is>
          <t>no</t>
        </is>
      </c>
      <c r="D7" s="68" t="inlineStr">
        <is>
          <t>NOT an axis — you can be poisoned and prone and blind. That is a State on its own axis, or a Resource.</t>
        </is>
      </c>
      <c r="E7" s="68" t="inlineStr">
        <is>
          <t>5e poisoned</t>
        </is>
      </c>
      <c r="F7" s="69" t="inlineStr">
        <is>
          <t>← example, not data</t>
        </is>
      </c>
    </row>
    <row r="8">
      <c r="A8" s="70" t="inlineStr">
        <is>
          <t>posture</t>
        </is>
      </c>
      <c r="B8" s="70" t="inlineStr">
        <is>
          <t>standing · prone · seated · airborne</t>
        </is>
      </c>
      <c r="C8" s="70" t="inlineStr">
        <is>
          <t>yes</t>
        </is>
      </c>
      <c r="D8" s="70" t="inlineStr">
        <is>
          <t>You cannot be both prone and airborne</t>
        </is>
      </c>
      <c r="E8" s="70" t="inlineStr">
        <is>
          <t>5e prone · WFRP Prone</t>
        </is>
      </c>
    </row>
    <row r="9">
      <c r="A9" s="70" t="inlineStr">
        <is>
          <t>restraint</t>
        </is>
      </c>
      <c r="B9" s="70" t="inlineStr">
        <is>
          <t>free · grabbed · restrained · immobilised</t>
        </is>
      </c>
      <c r="C9" s="70" t="inlineStr">
        <is>
          <t>yes</t>
        </is>
      </c>
      <c r="D9" s="70" t="inlineStr">
        <is>
          <t>PF2e and 5e both treat these as a ladder</t>
        </is>
      </c>
      <c r="E9" s="70" t="inlineStr">
        <is>
          <t>5e grappled/restrained · Lancer Immobilized</t>
        </is>
      </c>
    </row>
    <row r="10">
      <c r="A10" s="70" t="inlineStr">
        <is>
          <t>consciousness</t>
        </is>
      </c>
      <c r="B10" s="70" t="inlineStr">
        <is>
          <t>awake · asleep · unconscious</t>
        </is>
      </c>
      <c r="C10" s="70" t="inlineStr">
        <is>
          <t>yes</t>
        </is>
      </c>
      <c r="D10" s="70" t="inlineStr"/>
      <c r="E10" s="70" t="inlineStr">
        <is>
          <t>5e unconscious · WFRP</t>
        </is>
      </c>
    </row>
    <row r="11">
      <c r="A11" s="70" t="inlineStr">
        <is>
          <t>awareness</t>
        </is>
      </c>
      <c r="B11" s="70" t="inlineStr">
        <is>
          <t>aware · surprised · unaware</t>
        </is>
      </c>
      <c r="C11" s="70" t="inlineStr">
        <is>
          <t>yes</t>
        </is>
      </c>
      <c r="D11" s="70" t="inlineStr"/>
      <c r="E11" s="70" t="inlineStr">
        <is>
          <t>5e surprised · PF2e</t>
        </is>
      </c>
    </row>
    <row r="12">
      <c r="A12" s="70" t="inlineStr">
        <is>
          <t>visibility</t>
        </is>
      </c>
      <c r="B12" s="70" t="inlineStr">
        <is>
          <t>seen · concealed · hidden · unseen</t>
        </is>
      </c>
      <c r="C12" s="70" t="inlineStr">
        <is>
          <t>yes</t>
        </is>
      </c>
      <c r="D12" s="70" t="inlineStr">
        <is>
          <t>PF2e's four-step ladder is the best-specified version in print</t>
        </is>
      </c>
      <c r="E12" s="70" t="inlineStr">
        <is>
          <t>PF2e concealed/hidden/undetected</t>
        </is>
      </c>
    </row>
    <row r="13">
      <c r="A13" s="70" t="inlineStr">
        <is>
          <t>animacy</t>
        </is>
      </c>
      <c r="B13" s="70" t="inlineStr">
        <is>
          <t>living · dying · dead</t>
        </is>
      </c>
      <c r="C13" s="70" t="inlineStr">
        <is>
          <t>yes</t>
        </is>
      </c>
      <c r="D13" s="70" t="inlineStr">
        <is>
          <t>PF2e dying/wounded is really a track, not a condition — watch for that</t>
        </is>
      </c>
      <c r="E13" s="70" t="inlineStr">
        <is>
          <t>PF2e dying + wounded</t>
        </is>
      </c>
    </row>
    <row r="14">
      <c r="A14" s="70" t="inlineStr">
        <is>
          <t>containment</t>
        </is>
      </c>
      <c r="B14" s="70" t="inlineStr">
        <is>
          <t>free · contained · submerged</t>
        </is>
      </c>
      <c r="C14" s="70" t="inlineStr">
        <is>
          <t>yes</t>
        </is>
      </c>
      <c r="D14" s="70" t="inlineStr">
        <is>
          <t>Overlaps Place; argue whether it belongs to the Place Socket instead</t>
        </is>
      </c>
      <c r="E14" s="70" t="inlineStr">
        <is>
          <t>—</t>
        </is>
      </c>
    </row>
    <row r="16">
      <c r="A16" s="70" t="inlineStr">
        <is>
          <t>FIELDS A STATE DEFINITION CARRIES: name · axis · optional magnitude · optional MAXIMUM · what it does · how it ends. FORGETTING THE MAX IS THE MISTAKE — values add by default, so without a ceiling "poisoned 47" is reachable.</t>
        </is>
      </c>
    </row>
    <row r="18">
      <c r="A18" s="71" t="inlineStr">
        <is>
          <t>CONSIDERED AND REJECTED</t>
        </is>
      </c>
    </row>
    <row r="19">
      <c r="A19" s="72" t="inlineStr">
        <is>
          <t>additive magnitudes</t>
        </is>
      </c>
      <c r="B19" s="72" t="inlineStr"/>
      <c r="C19" s="72" t="inlineStr"/>
      <c r="D19" s="72" t="inlineStr">
        <is>
          <t>REJECT. PF2e takes the HIGHER value when a numeric condition is applied twice, never the sum. Additive stacking makes any repeatable source unbounded. This settles L18: the operator for States is max.</t>
        </is>
      </c>
      <c r="E19" s="72" t="inlineStr"/>
    </row>
    <row r="20">
      <c r="A20" s="72" t="inlineStr">
        <is>
          <t>conditions that imply other conditions</t>
        </is>
      </c>
      <c r="B20" s="72" t="inlineStr"/>
      <c r="C20" s="72" t="inlineStr"/>
      <c r="D20" s="72" t="inlineStr">
        <is>
          <t>REJECT, and it is a live maintenance cost in a shipping product: 5e paralyzed/stunned/unconscious all include incapacitated, and the 2024 revision had to widen incapacitated, which cascaded to all three. Same failure as tag hierarchy.</t>
        </is>
      </c>
      <c r="E20" s="72" t="inlineStr"/>
    </row>
    <row r="21">
      <c r="A21" s="72" t="inlineStr">
        <is>
          <t>intrinsic durations (save-ends, N rounds)</t>
        </is>
      </c>
      <c r="B21" s="72" t="inlineStr"/>
      <c r="C21" s="72" t="inlineStr"/>
      <c r="D21" s="72" t="inlineStr">
        <is>
          <t>ARGUE. 5e conditions have NO intrinsic duration — they end because the effect that imposed them ends, or a named action ends them. That is already our design, validated at the largest scale in the hobby. 4e layered durations on top and the tracking load is its most-cited failure.</t>
        </is>
      </c>
      <c r="E21" s="72" t="inlineStr"/>
    </row>
    <row r="22">
      <c r="A22" s="72" t="inlineStr">
        <is>
          <t>a long condition list</t>
        </is>
      </c>
      <c r="B22" s="72" t="inlineStr"/>
      <c r="C22" s="72" t="inlineStr"/>
      <c r="D22" s="72" t="inlineStr">
        <is>
          <t>3e/PF1 carried 34+. 4e carried more. 5e cut to 15. NOBODY HAS GROWN A CONDITION LIST AND BEEN GLAD.</t>
        </is>
      </c>
      <c r="E22" s="72" t="inlineStr"/>
    </row>
  </sheetData>
  <pageMargins left="0.75" right="0.75" top="1" bottom="1" header="0.5" footer="0.5"/>
</worksheet>
</file>

<file path=xl/worksheets/sheet8.xml><?xml version="1.0" encoding="utf-8"?>
<worksheet xmlns="http://schemas.openxmlformats.org/spreadsheetml/2006/main">
  <sheetPr filterMode="0">
    <outlinePr summaryBelow="1" summaryRight="1"/>
    <pageSetUpPr fitToPage="0"/>
  </sheetPr>
  <dimension ref="A1:F47"/>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8" min="1" max="1"/>
    <col width="40" customWidth="1" style="18" min="2" max="2"/>
    <col width="30" customWidth="1" style="18" min="3" max="3"/>
    <col width="24" customWidth="1" style="18" min="4" max="4"/>
    <col width="34" customWidth="1" style="18" min="5" max="5"/>
  </cols>
  <sheetData>
    <row r="1" ht="17.35" customHeight="1" s="19">
      <c r="A1" s="20" t="inlineStr">
        <is>
          <t>L6 · Verbs</t>
        </is>
      </c>
    </row>
    <row r="2" ht="15" customHeight="1" s="19">
      <c r="A2" s="28" t="inlineStr">
        <is>
          <t>PRELIMINARY · CLOSE LAST</t>
        </is>
      </c>
    </row>
    <row r="3" ht="30" customHeight="1" s="19">
      <c r="A3" s="21" t="inlineStr">
        <is>
          <t>The closed set of operations that change state. DO NOT FREEZE THIS UNTIL EVERY OTHER LIST IS DONE.</t>
        </is>
      </c>
    </row>
    <row r="4" ht="30" customHeight="1" s="19">
      <c r="A4" s="32" t="inlineStr">
        <is>
          <t>Closing procedure: run every entry from every other list plus every worked example through this. A consequence needing an operation not here is a real finding; one needing a Tag or Channel is not.</t>
        </is>
      </c>
    </row>
    <row r="6" ht="15" customHeight="1" s="19">
      <c r="A6" s="33" t="inlineStr">
        <is>
          <t>Verb</t>
        </is>
      </c>
      <c r="B6" s="33" t="inlineStr">
        <is>
          <t>What changed (never what was done)</t>
        </is>
      </c>
      <c r="C6" s="33" t="inlineStr">
        <is>
          <t>Example consequence</t>
        </is>
      </c>
      <c r="D6" s="33" t="inlineStr">
        <is>
          <t>Composes from existing?</t>
        </is>
      </c>
      <c r="E6" s="33" t="inlineStr">
        <is>
          <t>Keep / cut / undecided</t>
        </is>
      </c>
    </row>
    <row r="7" ht="23.85" customHeight="1" s="19">
      <c r="A7" s="34" t="inlineStr">
        <is>
          <t>apply</t>
        </is>
      </c>
      <c r="B7" s="34" t="inlineStr">
        <is>
          <t>A Packet is delivered to a target</t>
        </is>
      </c>
      <c r="C7" s="34" t="inlineStr">
        <is>
          <t>Burning down a warehouse</t>
        </is>
      </c>
      <c r="D7" s="34" t="inlineStr">
        <is>
          <t>No — nothing else expresses it</t>
        </is>
      </c>
      <c r="E7" s="34" t="inlineStr">
        <is>
          <t>keep</t>
        </is>
      </c>
      <c r="F7" s="35" t="inlineStr">
        <is>
          <t>← example, not data</t>
        </is>
      </c>
    </row>
    <row r="8" ht="15" customHeight="1" s="19">
      <c r="A8" s="37" t="n"/>
      <c r="B8" s="37" t="n"/>
      <c r="C8" s="37" t="n"/>
      <c r="D8" s="37" t="n"/>
      <c r="E8" s="37" t="n"/>
    </row>
    <row r="9" ht="15" customHeight="1" s="19">
      <c r="A9" s="37" t="n"/>
      <c r="B9" s="37" t="n"/>
      <c r="C9" s="37" t="n"/>
      <c r="D9" s="37" t="n"/>
      <c r="E9" s="37" t="n"/>
    </row>
    <row r="10" ht="15" customHeight="1" s="19">
      <c r="A10" s="37" t="n"/>
      <c r="B10" s="37" t="n"/>
      <c r="C10" s="37" t="n"/>
      <c r="D10" s="37" t="n"/>
      <c r="E10" s="37" t="n"/>
    </row>
    <row r="11" ht="15" customHeight="1" s="19">
      <c r="A11" s="37" t="n"/>
      <c r="B11" s="37" t="n"/>
      <c r="C11" s="37" t="n"/>
      <c r="D11" s="37" t="n"/>
      <c r="E11" s="37" t="n"/>
    </row>
    <row r="12" ht="15" customHeight="1" s="19">
      <c r="A12" s="37" t="n"/>
      <c r="B12" s="37" t="n"/>
      <c r="C12" s="37" t="n"/>
      <c r="D12" s="37" t="n"/>
      <c r="E12" s="37" t="n"/>
    </row>
    <row r="13" ht="15" customHeight="1" s="19">
      <c r="A13" s="37" t="n"/>
      <c r="B13" s="37" t="n"/>
      <c r="C13" s="37" t="n"/>
      <c r="D13" s="37" t="n"/>
      <c r="E13" s="37" t="n"/>
    </row>
    <row r="14" ht="15" customHeight="1" s="19">
      <c r="A14" s="37" t="n"/>
      <c r="B14" s="37" t="n"/>
      <c r="C14" s="37" t="n"/>
      <c r="D14" s="37" t="n"/>
      <c r="E14" s="37" t="n"/>
    </row>
    <row r="15" ht="15" customHeight="1" s="19">
      <c r="A15" s="37" t="n"/>
      <c r="B15" s="37" t="n"/>
      <c r="C15" s="37" t="n"/>
      <c r="D15" s="37" t="n"/>
      <c r="E15" s="37" t="n"/>
    </row>
    <row r="16" ht="15" customHeight="1" s="19">
      <c r="A16" s="37" t="n"/>
      <c r="B16" s="37" t="n"/>
      <c r="C16" s="37" t="n"/>
      <c r="D16" s="37" t="n"/>
      <c r="E16" s="37" t="n"/>
    </row>
    <row r="17" ht="15" customHeight="1" s="19">
      <c r="A17" s="37" t="n"/>
      <c r="B17" s="37" t="n"/>
      <c r="C17" s="37" t="n"/>
      <c r="D17" s="37" t="n"/>
      <c r="E17" s="37" t="n"/>
    </row>
    <row r="18" ht="15" customHeight="1" s="19">
      <c r="A18" s="37" t="n"/>
      <c r="B18" s="37" t="n"/>
      <c r="C18" s="37" t="n"/>
      <c r="D18" s="37" t="n"/>
      <c r="E18" s="37" t="n"/>
    </row>
    <row r="19" ht="15" customHeight="1" s="19">
      <c r="A19" s="37" t="n"/>
      <c r="B19" s="37" t="n"/>
      <c r="C19" s="37" t="n"/>
      <c r="D19" s="37" t="n"/>
      <c r="E19" s="37" t="n"/>
    </row>
    <row r="20" ht="15" customHeight="1" s="19">
      <c r="A20" s="37" t="n"/>
      <c r="B20" s="37" t="n"/>
      <c r="C20" s="37" t="n"/>
      <c r="D20" s="37" t="n"/>
      <c r="E20" s="37" t="n"/>
    </row>
    <row r="21" ht="15" customHeight="1" s="19">
      <c r="A21" s="37" t="n"/>
      <c r="B21" s="37" t="n"/>
      <c r="C21" s="37" t="n"/>
      <c r="D21" s="37" t="n"/>
      <c r="E21" s="37" t="n"/>
    </row>
    <row r="22" ht="15" customHeight="1" s="19">
      <c r="A22" s="37" t="n"/>
      <c r="B22" s="37" t="n"/>
      <c r="C22" s="37" t="n"/>
      <c r="D22" s="37" t="n"/>
      <c r="E22" s="37" t="n"/>
    </row>
    <row r="23" ht="15" customHeight="1" s="19">
      <c r="A23" s="37" t="n"/>
      <c r="B23" s="37" t="n"/>
      <c r="C23" s="37" t="n"/>
      <c r="D23" s="37" t="n"/>
      <c r="E23" s="37" t="n"/>
    </row>
    <row r="24" ht="15" customHeight="1" s="19">
      <c r="A24" s="37" t="n"/>
      <c r="B24" s="37" t="n"/>
      <c r="C24" s="37" t="n"/>
      <c r="D24" s="37" t="n"/>
      <c r="E24" s="37" t="n"/>
    </row>
    <row r="25" ht="15" customHeight="1" s="19">
      <c r="A25" s="37" t="n"/>
      <c r="B25" s="37" t="n"/>
      <c r="C25" s="37" t="n"/>
      <c r="D25" s="37" t="n"/>
      <c r="E25" s="37" t="n"/>
    </row>
    <row r="26" ht="15" customHeight="1" s="19">
      <c r="A26" s="37" t="n"/>
      <c r="B26" s="37" t="n"/>
      <c r="C26" s="37" t="n"/>
      <c r="D26" s="37" t="n"/>
      <c r="E26" s="37" t="n"/>
    </row>
    <row r="27" ht="15" customHeight="1" s="19">
      <c r="A27" s="37" t="n"/>
      <c r="B27" s="37" t="n"/>
      <c r="C27" s="37" t="n"/>
      <c r="D27" s="37" t="n"/>
      <c r="E27" s="37" t="n"/>
    </row>
    <row r="28" ht="15" customHeight="1" s="19">
      <c r="A28" s="37" t="n"/>
      <c r="B28" s="37" t="n"/>
      <c r="C28" s="37" t="n"/>
      <c r="D28" s="37" t="n"/>
      <c r="E28" s="37" t="n"/>
    </row>
    <row r="29" ht="15" customHeight="1" s="19">
      <c r="A29" s="37" t="n"/>
      <c r="B29" s="37" t="n"/>
      <c r="C29" s="37" t="n"/>
      <c r="D29" s="37" t="n"/>
      <c r="E29" s="37" t="n"/>
    </row>
    <row r="30" ht="15" customHeight="1" s="19">
      <c r="A30" s="37" t="n"/>
      <c r="B30" s="37" t="n"/>
      <c r="C30" s="37" t="n"/>
      <c r="D30" s="37" t="n"/>
      <c r="E30" s="37" t="n"/>
    </row>
    <row r="31" ht="15" customHeight="1" s="19">
      <c r="A31" s="37" t="n"/>
      <c r="B31" s="37" t="n"/>
      <c r="C31" s="37" t="n"/>
      <c r="D31" s="37" t="n"/>
      <c r="E31" s="37" t="n"/>
    </row>
    <row r="32" ht="15" customHeight="1" s="19">
      <c r="A32" s="37" t="n"/>
      <c r="B32" s="37" t="n"/>
      <c r="C32" s="37" t="n"/>
      <c r="D32" s="37" t="n"/>
      <c r="E32" s="37" t="n"/>
    </row>
    <row r="33" ht="15" customHeight="1" s="19">
      <c r="A33" s="37" t="n"/>
      <c r="B33" s="37" t="n"/>
      <c r="C33" s="37" t="n"/>
      <c r="D33" s="37" t="n"/>
      <c r="E33" s="37" t="n"/>
    </row>
    <row r="34" ht="15" customHeight="1" s="19">
      <c r="A34" s="37" t="n"/>
      <c r="B34" s="37" t="n"/>
      <c r="C34" s="37" t="n"/>
      <c r="D34" s="37" t="n"/>
      <c r="E34" s="37" t="n"/>
    </row>
    <row r="35" ht="15" customHeight="1" s="19">
      <c r="A35" s="37" t="n"/>
      <c r="B35" s="37" t="n"/>
      <c r="C35" s="37" t="n"/>
      <c r="D35" s="37" t="n"/>
      <c r="E35" s="37" t="n"/>
    </row>
    <row r="36" ht="15" customHeight="1" s="19">
      <c r="A36" s="37" t="n"/>
      <c r="B36" s="37" t="n"/>
      <c r="C36" s="37" t="n"/>
      <c r="D36" s="37" t="n"/>
      <c r="E36" s="37" t="n"/>
    </row>
    <row r="37" ht="15" customHeight="1" s="19">
      <c r="A37" s="37" t="n"/>
      <c r="B37" s="37" t="n"/>
      <c r="C37" s="37" t="n"/>
      <c r="D37" s="37" t="n"/>
      <c r="E37" s="37" t="n"/>
    </row>
    <row r="38" ht="15" customHeight="1" s="19">
      <c r="A38" s="37" t="n"/>
      <c r="B38" s="37" t="n"/>
      <c r="C38" s="37" t="n"/>
      <c r="D38" s="37" t="n"/>
      <c r="E38" s="37" t="n"/>
    </row>
    <row r="39" ht="15" customHeight="1" s="19">
      <c r="A39" s="37" t="n"/>
      <c r="B39" s="37" t="n"/>
      <c r="C39" s="37" t="n"/>
      <c r="D39" s="37" t="n"/>
      <c r="E39" s="37" t="n"/>
    </row>
    <row r="40" ht="15" customHeight="1" s="19">
      <c r="A40" s="37" t="n"/>
      <c r="B40" s="37" t="n"/>
      <c r="C40" s="37" t="n"/>
      <c r="D40" s="37" t="n"/>
      <c r="E40" s="37" t="n"/>
    </row>
    <row r="41" ht="15" customHeight="1" s="19">
      <c r="A41" s="37" t="n"/>
      <c r="B41" s="37" t="n"/>
      <c r="C41" s="37" t="n"/>
      <c r="D41" s="37" t="n"/>
      <c r="E41" s="37" t="n"/>
    </row>
    <row r="42" ht="15" customHeight="1" s="19">
      <c r="A42" s="37" t="n"/>
      <c r="B42" s="37" t="n"/>
      <c r="C42" s="37" t="n"/>
      <c r="D42" s="37" t="n"/>
      <c r="E42" s="37" t="n"/>
    </row>
    <row r="43" ht="15" customHeight="1" s="19">
      <c r="A43" s="37" t="n"/>
      <c r="B43" s="37" t="n"/>
      <c r="C43" s="37" t="n"/>
      <c r="D43" s="37" t="n"/>
      <c r="E43" s="37" t="n"/>
    </row>
    <row r="44" ht="15" customHeight="1" s="19">
      <c r="A44" s="37" t="n"/>
      <c r="B44" s="37" t="n"/>
      <c r="C44" s="37" t="n"/>
      <c r="D44" s="37" t="n"/>
      <c r="E44" s="37" t="n"/>
    </row>
    <row r="45" ht="15" customHeight="1" s="19">
      <c r="A45" s="37" t="n"/>
      <c r="B45" s="37" t="n"/>
      <c r="C45" s="37" t="n"/>
      <c r="D45" s="37" t="n"/>
      <c r="E45" s="37" t="n"/>
    </row>
    <row r="46" ht="15" customHeight="1" s="19">
      <c r="A46" s="37" t="n"/>
      <c r="B46" s="37" t="n"/>
      <c r="C46" s="37" t="n"/>
      <c r="D46" s="37" t="n"/>
      <c r="E46" s="37" t="n"/>
    </row>
    <row r="47" ht="15" customHeight="1" s="19">
      <c r="A47" s="37" t="n"/>
      <c r="B47" s="37" t="n"/>
      <c r="C47" s="37" t="n"/>
      <c r="D47" s="37" t="n"/>
      <c r="E47" s="3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7"/>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8" min="1" max="1"/>
    <col width="40" customWidth="1" style="18" min="2" max="2"/>
    <col width="30" customWidth="1" style="18" min="3" max="3"/>
    <col width="24" customWidth="1" style="18" min="4" max="4"/>
    <col width="34" customWidth="1" style="18" min="5" max="5"/>
  </cols>
  <sheetData>
    <row r="1" ht="17.35" customHeight="1" s="19">
      <c r="A1" s="20" t="inlineStr">
        <is>
          <t>L7 · Layers</t>
        </is>
      </c>
    </row>
    <row r="2" ht="15" customHeight="1" s="19">
      <c r="A2" s="28" t="inlineStr">
        <is>
          <t>PARTIAL · BLOCKING</t>
        </is>
      </c>
    </row>
    <row r="3" ht="30" customHeight="1" s="19">
      <c r="A3" s="21" t="inlineStr">
        <is>
          <t>The precedence lattice. Resolution region is drafted (E-/C-/R-). What is open is everything outside resolution.</t>
        </is>
      </c>
    </row>
    <row r="4" ht="30" customHeight="1" s="19">
      <c r="A4" s="32" t="inlineStr">
        <is>
          <t>REVISED — the resolution region is now THIRTY slots (E×5, C×6, R×19) after Phase 0 and the L21–L23 work. What remains is everything OUTSIDE resolution.</t>
        </is>
      </c>
    </row>
    <row r="6" ht="15" customHeight="1" s="19">
      <c r="A6" s="33" t="inlineStr">
        <is>
          <t>Slot</t>
        </is>
      </c>
      <c r="B6" s="33" t="inlineStr">
        <is>
          <t>Region</t>
        </is>
      </c>
      <c r="C6" s="33" t="inlineStr">
        <is>
          <t>Name</t>
        </is>
      </c>
      <c r="D6" s="33" t="inlineStr">
        <is>
          <t>What belongs here</t>
        </is>
      </c>
      <c r="E6" s="33" t="inlineStr">
        <is>
          <t>May depend on (earlier slots only)</t>
        </is>
      </c>
    </row>
    <row r="7" ht="23.85" customHeight="1" s="19">
      <c r="A7" s="34" t="inlineStr">
        <is>
          <t>R-400</t>
        </is>
      </c>
      <c r="B7" s="34" t="inlineStr">
        <is>
          <t>Resolution</t>
        </is>
      </c>
      <c r="C7" s="34" t="inlineStr">
        <is>
          <t>Apply percentage</t>
        </is>
      </c>
      <c r="D7" s="34" t="inlineStr">
        <is>
          <t>The one multiplication; truncate toward zero</t>
        </is>
      </c>
      <c r="E7" s="34" t="inlineStr">
        <is>
          <t>R-300, R-350</t>
        </is>
      </c>
      <c r="F7" s="35" t="inlineStr">
        <is>
          <t>← example, not data</t>
        </is>
      </c>
    </row>
    <row r="8" ht="15" customHeight="1" s="19">
      <c r="A8" s="36" t="inlineStr">
        <is>
          <t>E-100 … E-500</t>
        </is>
      </c>
      <c r="B8" s="36" t="inlineStr">
        <is>
          <t>entity</t>
        </is>
      </c>
      <c r="C8" s="36" t="inlineStr">
        <is>
          <t>preparing an Entity</t>
        </is>
      </c>
      <c r="D8" s="36" t="inlineStr">
        <is>
          <t>existence, Categories, its own numbers, its ceilings</t>
        </is>
      </c>
      <c r="E8" s="36" t="inlineStr">
        <is>
          <t>—</t>
        </is>
      </c>
    </row>
    <row r="9" ht="15" customHeight="1" s="19">
      <c r="A9" s="36" t="inlineStr">
        <is>
          <t>C-100 … C-600</t>
        </is>
      </c>
      <c r="B9" s="36" t="inlineStr">
        <is>
          <t>creation</t>
        </is>
      </c>
      <c r="C9" s="36" t="inlineStr">
        <is>
          <t>creating a vector</t>
        </is>
      </c>
      <c r="D9" s="36" t="inlineStr">
        <is>
          <t>everything the source contributes, collapsed to a direction and four numbers</t>
        </is>
      </c>
      <c r="E9" s="36" t="inlineStr">
        <is>
          <t>E-region</t>
        </is>
      </c>
    </row>
    <row r="10" ht="15" customHeight="1" s="19">
      <c r="A10" s="36" t="inlineStr">
        <is>
          <t>R-100 … R-1400</t>
        </is>
      </c>
      <c r="B10" s="36" t="inlineStr">
        <is>
          <t>resolution</t>
        </is>
      </c>
      <c r="C10" s="36" t="inlineStr">
        <is>
          <t>resolving at a Moment</t>
        </is>
      </c>
      <c r="D10" s="36" t="inlineStr">
        <is>
          <t>gather · ambient · percentages · capacity clamp · apply · absolutes · vector clamp · resolve · SCALE (R-750) · standing cap (R-780, reserved) · combine per source · FLAT GUARDS per source (R-850) · combine across sources (R-1000) · PROPORTIONAL GUARDS (R-1050) · target clamp · land · RESTORE (R-1250) · record · listeners</t>
        </is>
      </c>
      <c r="E10" s="36" t="inlineStr">
        <is>
          <t>E and C regions</t>
        </is>
      </c>
    </row>
    <row r="11" ht="15" customHeight="1" s="19">
      <c r="A11" s="36" t="inlineStr"/>
      <c r="B11" s="36" t="inlineStr"/>
      <c r="C11" s="36" t="inlineStr"/>
      <c r="D11" s="36" t="inlineStr"/>
      <c r="E11" s="36" t="inlineStr"/>
    </row>
    <row r="12" ht="15" customHeight="1" s="19">
      <c r="A12" s="36" t="inlineStr">
        <is>
          <t>STILL EMPTY — the regions outside resolution:</t>
        </is>
      </c>
      <c r="B12" s="36" t="inlineStr"/>
      <c r="C12" s="36" t="inlineStr"/>
      <c r="D12" s="36" t="inlineStr"/>
      <c r="E12" s="36" t="inlineStr"/>
    </row>
    <row r="13" ht="15" customHeight="1" s="19">
      <c r="A13" s="36" t="inlineStr">
        <is>
          <t>?</t>
        </is>
      </c>
      <c r="B13" s="36" t="inlineStr">
        <is>
          <t>progression</t>
        </is>
      </c>
      <c r="C13" s="36" t="inlineStr">
        <is>
          <t>how a character changes over time</t>
        </is>
      </c>
      <c r="D13" s="36" t="inlineStr"/>
      <c r="E13" s="36" t="inlineStr">
        <is>
          <t>needs its own region</t>
        </is>
      </c>
    </row>
    <row r="14" ht="15" customHeight="1" s="19">
      <c r="A14" s="36" t="inlineStr">
        <is>
          <t>?</t>
        </is>
      </c>
      <c r="B14" s="36" t="inlineStr">
        <is>
          <t>economy</t>
        </is>
      </c>
      <c r="C14" s="36" t="inlineStr">
        <is>
          <t>Budget refresh, upkeep, costs</t>
        </is>
      </c>
      <c r="D14" s="36" t="inlineStr"/>
      <c r="E14" s="36" t="inlineStr">
        <is>
          <t>the A2 upkeep answer lives here</t>
        </is>
      </c>
    </row>
    <row r="15" ht="15" customHeight="1" s="19">
      <c r="A15" s="36" t="inlineStr">
        <is>
          <t>?</t>
        </is>
      </c>
      <c r="B15" s="36" t="inlineStr">
        <is>
          <t>movement</t>
        </is>
      </c>
      <c r="C15" s="36" t="inlineStr">
        <is>
          <t>position, travel, pursuit</t>
        </is>
      </c>
      <c r="D15" s="36" t="inlineStr"/>
      <c r="E15" s="36" t="inlineStr">
        <is>
          <t>interacts with the new mobility Dimension</t>
        </is>
      </c>
    </row>
    <row r="16" ht="15" customHeight="1" s="19">
      <c r="A16" s="36" t="inlineStr">
        <is>
          <t>?</t>
        </is>
      </c>
      <c r="B16" s="36" t="inlineStr">
        <is>
          <t>knowledge</t>
        </is>
      </c>
      <c r="C16" s="36" t="inlineStr">
        <is>
          <t>what is known, by whom, when</t>
        </is>
      </c>
      <c r="D16" s="36" t="inlineStr"/>
      <c r="E16" s="36" t="inlineStr">
        <is>
          <t>Almanac</t>
        </is>
      </c>
    </row>
    <row r="17" ht="15" customHeight="1" s="19">
      <c r="A17" s="36" t="inlineStr">
        <is>
          <t>?</t>
        </is>
      </c>
      <c r="B17" s="36" t="inlineStr">
        <is>
          <t>social standing</t>
        </is>
      </c>
      <c r="C17" s="36" t="inlineStr">
        <is>
          <t>reputation over time, decay</t>
        </is>
      </c>
      <c r="D17" s="36" t="inlineStr"/>
      <c r="E17" s="36" t="inlineStr">
        <is>
          <t>interacts with the new standing Dimension</t>
        </is>
      </c>
    </row>
    <row r="18" ht="15" customHeight="1" s="19">
      <c r="A18" s="36" t="inlineStr"/>
      <c r="B18" s="36" t="inlineStr"/>
      <c r="C18" s="36" t="inlineStr"/>
      <c r="D18" s="36" t="inlineStr"/>
      <c r="E18" s="36" t="inlineStr"/>
    </row>
    <row r="19" ht="15" customHeight="1" s="19">
      <c r="A19" s="36" t="inlineStr">
        <is>
          <t>THE TEST: take a mechanic you want. Write out what must already be settled before it can be computed. If no existing slot supplies it, that is a new slot.</t>
        </is>
      </c>
      <c r="B19" s="36" t="inlineStr"/>
      <c r="C19" s="36" t="inlineStr"/>
      <c r="D19" s="36" t="inlineStr"/>
      <c r="E19" s="36" t="inlineStr"/>
    </row>
    <row r="20" ht="15" customHeight="1" s="19">
      <c r="A20" s="36" t="inlineStr">
        <is>
          <t>ERR HIGH. Gaps of 100 so 650 can be inserted. An unused slot costs nothing; a missing one is a foundation break.</t>
        </is>
      </c>
      <c r="B20" s="36" t="inlineStr"/>
      <c r="C20" s="36" t="inlineStr"/>
      <c r="D20" s="36" t="inlineStr"/>
      <c r="E20" s="36" t="inlineStr"/>
    </row>
    <row r="21" ht="15" customHeight="1" s="19">
      <c r="A21" s="37" t="n"/>
      <c r="B21" s="37" t="n"/>
      <c r="C21" s="37" t="n"/>
      <c r="D21" s="37" t="n"/>
      <c r="E21" s="37" t="n"/>
    </row>
    <row r="22" ht="15" customHeight="1" s="19">
      <c r="A22" s="37" t="n"/>
      <c r="B22" s="37" t="n"/>
      <c r="C22" s="37" t="n"/>
      <c r="D22" s="37" t="n"/>
      <c r="E22" s="37" t="n"/>
    </row>
    <row r="23" ht="15" customHeight="1" s="19">
      <c r="A23" s="37" t="n"/>
      <c r="B23" s="37" t="n"/>
      <c r="C23" s="37" t="n"/>
      <c r="D23" s="37" t="n"/>
      <c r="E23" s="37" t="n"/>
    </row>
    <row r="24" ht="15" customHeight="1" s="19">
      <c r="A24" s="37" t="n"/>
      <c r="B24" s="37" t="n"/>
      <c r="C24" s="37" t="n"/>
      <c r="D24" s="37" t="n"/>
      <c r="E24" s="37" t="n"/>
    </row>
    <row r="25" ht="15" customHeight="1" s="19">
      <c r="A25" s="37" t="n"/>
      <c r="B25" s="37" t="n"/>
      <c r="C25" s="37" t="n"/>
      <c r="D25" s="37" t="n"/>
      <c r="E25" s="37" t="n"/>
    </row>
    <row r="26" ht="15" customHeight="1" s="19">
      <c r="A26" s="37" t="n"/>
      <c r="B26" s="37" t="n"/>
      <c r="C26" s="37" t="n"/>
      <c r="D26" s="37" t="n"/>
      <c r="E26" s="37" t="n"/>
    </row>
    <row r="27" ht="15" customHeight="1" s="19">
      <c r="A27" s="37" t="n"/>
      <c r="B27" s="37" t="n"/>
      <c r="C27" s="37" t="n"/>
      <c r="D27" s="37" t="n"/>
      <c r="E27" s="37" t="n"/>
    </row>
    <row r="28" ht="15" customHeight="1" s="19">
      <c r="A28" s="37" t="n"/>
      <c r="B28" s="37" t="n"/>
      <c r="C28" s="37" t="n"/>
      <c r="D28" s="37" t="n"/>
      <c r="E28" s="37" t="n"/>
    </row>
    <row r="29" ht="15" customHeight="1" s="19">
      <c r="A29" s="37" t="n"/>
      <c r="B29" s="37" t="n"/>
      <c r="C29" s="37" t="n"/>
      <c r="D29" s="37" t="n"/>
      <c r="E29" s="37" t="n"/>
    </row>
    <row r="30" ht="15" customHeight="1" s="19">
      <c r="A30" s="37" t="n"/>
      <c r="B30" s="37" t="n"/>
      <c r="C30" s="37" t="n"/>
      <c r="D30" s="37" t="n"/>
      <c r="E30" s="37" t="n"/>
    </row>
    <row r="31" ht="15" customHeight="1" s="19">
      <c r="A31" s="37" t="n"/>
      <c r="B31" s="37" t="n"/>
      <c r="C31" s="37" t="n"/>
      <c r="D31" s="37" t="n"/>
      <c r="E31" s="37" t="n"/>
    </row>
    <row r="32" ht="15" customHeight="1" s="19">
      <c r="A32" s="37" t="n"/>
      <c r="B32" s="37" t="n"/>
      <c r="C32" s="37" t="n"/>
      <c r="D32" s="37" t="n"/>
      <c r="E32" s="37" t="n"/>
    </row>
    <row r="33" ht="15" customHeight="1" s="19">
      <c r="A33" s="37" t="n"/>
      <c r="B33" s="37" t="n"/>
      <c r="C33" s="37" t="n"/>
      <c r="D33" s="37" t="n"/>
      <c r="E33" s="37" t="n"/>
    </row>
    <row r="34" ht="15" customHeight="1" s="19">
      <c r="A34" s="37" t="n"/>
      <c r="B34" s="37" t="n"/>
      <c r="C34" s="37" t="n"/>
      <c r="D34" s="37" t="n"/>
      <c r="E34" s="37" t="n"/>
    </row>
    <row r="35" ht="15" customHeight="1" s="19">
      <c r="A35" s="37" t="n"/>
      <c r="B35" s="37" t="n"/>
      <c r="C35" s="37" t="n"/>
      <c r="D35" s="37" t="n"/>
      <c r="E35" s="37" t="n"/>
    </row>
    <row r="36" ht="15" customHeight="1" s="19">
      <c r="A36" s="37" t="n"/>
      <c r="B36" s="37" t="n"/>
      <c r="C36" s="37" t="n"/>
      <c r="D36" s="37" t="n"/>
      <c r="E36" s="37" t="n"/>
    </row>
    <row r="37" ht="15" customHeight="1" s="19">
      <c r="A37" s="37" t="n"/>
      <c r="B37" s="37" t="n"/>
      <c r="C37" s="37" t="n"/>
      <c r="D37" s="37" t="n"/>
      <c r="E37" s="37" t="n"/>
    </row>
    <row r="38" ht="15" customHeight="1" s="19">
      <c r="A38" s="37" t="n"/>
      <c r="B38" s="37" t="n"/>
      <c r="C38" s="37" t="n"/>
      <c r="D38" s="37" t="n"/>
      <c r="E38" s="37" t="n"/>
    </row>
    <row r="39" ht="15" customHeight="1" s="19">
      <c r="A39" s="37" t="n"/>
      <c r="B39" s="37" t="n"/>
      <c r="C39" s="37" t="n"/>
      <c r="D39" s="37" t="n"/>
      <c r="E39" s="37" t="n"/>
    </row>
    <row r="40" ht="15" customHeight="1" s="19">
      <c r="A40" s="37" t="n"/>
      <c r="B40" s="37" t="n"/>
      <c r="C40" s="37" t="n"/>
      <c r="D40" s="37" t="n"/>
      <c r="E40" s="37" t="n"/>
    </row>
    <row r="41" ht="15" customHeight="1" s="19">
      <c r="A41" s="37" t="n"/>
      <c r="B41" s="37" t="n"/>
      <c r="C41" s="37" t="n"/>
      <c r="D41" s="37" t="n"/>
      <c r="E41" s="37" t="n"/>
    </row>
    <row r="42" ht="15" customHeight="1" s="19">
      <c r="A42" s="37" t="n"/>
      <c r="B42" s="37" t="n"/>
      <c r="C42" s="37" t="n"/>
      <c r="D42" s="37" t="n"/>
      <c r="E42" s="37" t="n"/>
    </row>
    <row r="43" ht="15" customHeight="1" s="19">
      <c r="A43" s="37" t="n"/>
      <c r="B43" s="37" t="n"/>
      <c r="C43" s="37" t="n"/>
      <c r="D43" s="37" t="n"/>
      <c r="E43" s="37" t="n"/>
    </row>
    <row r="44" ht="15" customHeight="1" s="19">
      <c r="A44" s="37" t="n"/>
      <c r="B44" s="37" t="n"/>
      <c r="C44" s="37" t="n"/>
      <c r="D44" s="37" t="n"/>
      <c r="E44" s="37" t="n"/>
    </row>
    <row r="45" ht="15" customHeight="1" s="19">
      <c r="A45" s="37" t="n"/>
      <c r="B45" s="37" t="n"/>
      <c r="C45" s="37" t="n"/>
      <c r="D45" s="37" t="n"/>
      <c r="E45" s="37" t="n"/>
    </row>
    <row r="46" ht="15" customHeight="1" s="19">
      <c r="A46" s="37" t="n"/>
      <c r="B46" s="37" t="n"/>
      <c r="C46" s="37" t="n"/>
      <c r="D46" s="37" t="n"/>
      <c r="E46" s="37" t="n"/>
    </row>
    <row r="47" ht="15" customHeight="1" s="19">
      <c r="A47" s="37" t="n"/>
      <c r="B47" s="37" t="n"/>
      <c r="C47" s="37" t="n"/>
      <c r="D47" s="37" t="n"/>
      <c r="E47" s="3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F47"/>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8" min="1" max="1"/>
    <col width="40" customWidth="1" style="18" min="2" max="2"/>
    <col width="30" customWidth="1" style="18" min="3" max="3"/>
    <col width="24" customWidth="1" style="18" min="4" max="4"/>
    <col width="34" customWidth="1" style="18" min="5" max="5"/>
  </cols>
  <sheetData>
    <row r="1" ht="17.35" customHeight="1" s="19">
      <c r="A1" s="20" t="inlineStr">
        <is>
          <t>L10 · Challenge Profile axes</t>
        </is>
      </c>
    </row>
    <row r="2" ht="15" customHeight="1" s="19">
      <c r="A2" s="29" t="inlineStr">
        <is>
          <t>PENDING</t>
        </is>
      </c>
    </row>
    <row r="3" ht="30" customHeight="1" s="19">
      <c r="A3" s="21" t="inlineStr">
        <is>
          <t>How demanding an Entity is. A set of rated axes plus a scalar computed from them by an explicit formula. The shape is never the score.</t>
        </is>
      </c>
    </row>
    <row r="6" ht="15" customHeight="1" s="19">
      <c r="A6" s="33" t="inlineStr">
        <is>
          <t>Axis</t>
        </is>
      </c>
      <c r="B6" s="33" t="inlineStr">
        <is>
          <t>What it measures</t>
        </is>
      </c>
      <c r="C6" s="33" t="inlineStr">
        <is>
          <t>Scale</t>
        </is>
      </c>
      <c r="D6" s="33" t="inlineStr">
        <is>
          <t>Weight in the scalar</t>
        </is>
      </c>
      <c r="E6" s="33" t="inlineStr">
        <is>
          <t>Notes</t>
        </is>
      </c>
    </row>
    <row r="7" ht="23.85" customHeight="1" s="19">
      <c r="A7" s="34" t="inlineStr">
        <is>
          <t>durability</t>
        </is>
      </c>
      <c r="B7" s="34" t="inlineStr">
        <is>
          <t>How much it absorbs before it stops</t>
        </is>
      </c>
      <c r="C7" s="34" t="inlineStr">
        <is>
          <t>0-10</t>
        </is>
      </c>
      <c r="D7" s="34" t="inlineStr">
        <is>
          <t>TBD</t>
        </is>
      </c>
      <c r="E7" s="34" t="inlineStr">
        <is>
          <t>Radar area is order-dependent and quadratic — never use it as the number</t>
        </is>
      </c>
      <c r="F7" s="35" t="inlineStr">
        <is>
          <t>← example, not data</t>
        </is>
      </c>
    </row>
    <row r="8" ht="15" customHeight="1" s="19">
      <c r="A8" s="37" t="n"/>
      <c r="B8" s="37" t="n"/>
      <c r="C8" s="37" t="n"/>
      <c r="D8" s="37" t="n"/>
      <c r="E8" s="37" t="n"/>
    </row>
    <row r="9" ht="15" customHeight="1" s="19">
      <c r="A9" s="37" t="n"/>
      <c r="B9" s="37" t="n"/>
      <c r="C9" s="37" t="n"/>
      <c r="D9" s="37" t="n"/>
      <c r="E9" s="37" t="n"/>
    </row>
    <row r="10" ht="15" customHeight="1" s="19">
      <c r="A10" s="37" t="n"/>
      <c r="B10" s="37" t="n"/>
      <c r="C10" s="37" t="n"/>
      <c r="D10" s="37" t="n"/>
      <c r="E10" s="37" t="n"/>
    </row>
    <row r="11" ht="15" customHeight="1" s="19">
      <c r="A11" s="37" t="n"/>
      <c r="B11" s="37" t="n"/>
      <c r="C11" s="37" t="n"/>
      <c r="D11" s="37" t="n"/>
      <c r="E11" s="37" t="n"/>
    </row>
    <row r="12" ht="15" customHeight="1" s="19">
      <c r="A12" s="37" t="n"/>
      <c r="B12" s="37" t="n"/>
      <c r="C12" s="37" t="n"/>
      <c r="D12" s="37" t="n"/>
      <c r="E12" s="37" t="n"/>
    </row>
    <row r="13" ht="15" customHeight="1" s="19">
      <c r="A13" s="37" t="n"/>
      <c r="B13" s="37" t="n"/>
      <c r="C13" s="37" t="n"/>
      <c r="D13" s="37" t="n"/>
      <c r="E13" s="37" t="n"/>
    </row>
    <row r="14" ht="15" customHeight="1" s="19">
      <c r="A14" s="37" t="n"/>
      <c r="B14" s="37" t="n"/>
      <c r="C14" s="37" t="n"/>
      <c r="D14" s="37" t="n"/>
      <c r="E14" s="37" t="n"/>
    </row>
    <row r="15" ht="15" customHeight="1" s="19">
      <c r="A15" s="37" t="n"/>
      <c r="B15" s="37" t="n"/>
      <c r="C15" s="37" t="n"/>
      <c r="D15" s="37" t="n"/>
      <c r="E15" s="37" t="n"/>
    </row>
    <row r="16" ht="15" customHeight="1" s="19">
      <c r="A16" s="37" t="n"/>
      <c r="B16" s="37" t="n"/>
      <c r="C16" s="37" t="n"/>
      <c r="D16" s="37" t="n"/>
      <c r="E16" s="37" t="n"/>
    </row>
    <row r="17" ht="15" customHeight="1" s="19">
      <c r="A17" s="37" t="n"/>
      <c r="B17" s="37" t="n"/>
      <c r="C17" s="37" t="n"/>
      <c r="D17" s="37" t="n"/>
      <c r="E17" s="37" t="n"/>
    </row>
    <row r="18" ht="15" customHeight="1" s="19">
      <c r="A18" s="37" t="n"/>
      <c r="B18" s="37" t="n"/>
      <c r="C18" s="37" t="n"/>
      <c r="D18" s="37" t="n"/>
      <c r="E18" s="37" t="n"/>
    </row>
    <row r="19" ht="15" customHeight="1" s="19">
      <c r="A19" s="37" t="n"/>
      <c r="B19" s="37" t="n"/>
      <c r="C19" s="37" t="n"/>
      <c r="D19" s="37" t="n"/>
      <c r="E19" s="37" t="n"/>
    </row>
    <row r="20" ht="15" customHeight="1" s="19">
      <c r="A20" s="37" t="n"/>
      <c r="B20" s="37" t="n"/>
      <c r="C20" s="37" t="n"/>
      <c r="D20" s="37" t="n"/>
      <c r="E20" s="37" t="n"/>
    </row>
    <row r="21" ht="15" customHeight="1" s="19">
      <c r="A21" s="37" t="n"/>
      <c r="B21" s="37" t="n"/>
      <c r="C21" s="37" t="n"/>
      <c r="D21" s="37" t="n"/>
      <c r="E21" s="37" t="n"/>
    </row>
    <row r="22" ht="15" customHeight="1" s="19">
      <c r="A22" s="37" t="n"/>
      <c r="B22" s="37" t="n"/>
      <c r="C22" s="37" t="n"/>
      <c r="D22" s="37" t="n"/>
      <c r="E22" s="37" t="n"/>
    </row>
    <row r="23" ht="15" customHeight="1" s="19">
      <c r="A23" s="37" t="n"/>
      <c r="B23" s="37" t="n"/>
      <c r="C23" s="37" t="n"/>
      <c r="D23" s="37" t="n"/>
      <c r="E23" s="37" t="n"/>
    </row>
    <row r="24" ht="15" customHeight="1" s="19">
      <c r="A24" s="37" t="n"/>
      <c r="B24" s="37" t="n"/>
      <c r="C24" s="37" t="n"/>
      <c r="D24" s="37" t="n"/>
      <c r="E24" s="37" t="n"/>
    </row>
    <row r="25" ht="15" customHeight="1" s="19">
      <c r="A25" s="37" t="n"/>
      <c r="B25" s="37" t="n"/>
      <c r="C25" s="37" t="n"/>
      <c r="D25" s="37" t="n"/>
      <c r="E25" s="37" t="n"/>
    </row>
    <row r="26" ht="15" customHeight="1" s="19">
      <c r="A26" s="37" t="n"/>
      <c r="B26" s="37" t="n"/>
      <c r="C26" s="37" t="n"/>
      <c r="D26" s="37" t="n"/>
      <c r="E26" s="37" t="n"/>
    </row>
    <row r="27" ht="15" customHeight="1" s="19">
      <c r="A27" s="37" t="n"/>
      <c r="B27" s="37" t="n"/>
      <c r="C27" s="37" t="n"/>
      <c r="D27" s="37" t="n"/>
      <c r="E27" s="37" t="n"/>
    </row>
    <row r="28" ht="15" customHeight="1" s="19">
      <c r="A28" s="37" t="n"/>
      <c r="B28" s="37" t="n"/>
      <c r="C28" s="37" t="n"/>
      <c r="D28" s="37" t="n"/>
      <c r="E28" s="37" t="n"/>
    </row>
    <row r="29" ht="15" customHeight="1" s="19">
      <c r="A29" s="37" t="n"/>
      <c r="B29" s="37" t="n"/>
      <c r="C29" s="37" t="n"/>
      <c r="D29" s="37" t="n"/>
      <c r="E29" s="37" t="n"/>
    </row>
    <row r="30" ht="15" customHeight="1" s="19">
      <c r="A30" s="37" t="n"/>
      <c r="B30" s="37" t="n"/>
      <c r="C30" s="37" t="n"/>
      <c r="D30" s="37" t="n"/>
      <c r="E30" s="37" t="n"/>
    </row>
    <row r="31" ht="15" customHeight="1" s="19">
      <c r="A31" s="37" t="n"/>
      <c r="B31" s="37" t="n"/>
      <c r="C31" s="37" t="n"/>
      <c r="D31" s="37" t="n"/>
      <c r="E31" s="37" t="n"/>
    </row>
    <row r="32" ht="15" customHeight="1" s="19">
      <c r="A32" s="37" t="n"/>
      <c r="B32" s="37" t="n"/>
      <c r="C32" s="37" t="n"/>
      <c r="D32" s="37" t="n"/>
      <c r="E32" s="37" t="n"/>
    </row>
    <row r="33" ht="15" customHeight="1" s="19">
      <c r="A33" s="37" t="n"/>
      <c r="B33" s="37" t="n"/>
      <c r="C33" s="37" t="n"/>
      <c r="D33" s="37" t="n"/>
      <c r="E33" s="37" t="n"/>
    </row>
    <row r="34" ht="15" customHeight="1" s="19">
      <c r="A34" s="37" t="n"/>
      <c r="B34" s="37" t="n"/>
      <c r="C34" s="37" t="n"/>
      <c r="D34" s="37" t="n"/>
      <c r="E34" s="37" t="n"/>
    </row>
    <row r="35" ht="15" customHeight="1" s="19">
      <c r="A35" s="37" t="n"/>
      <c r="B35" s="37" t="n"/>
      <c r="C35" s="37" t="n"/>
      <c r="D35" s="37" t="n"/>
      <c r="E35" s="37" t="n"/>
    </row>
    <row r="36" ht="15" customHeight="1" s="19">
      <c r="A36" s="37" t="n"/>
      <c r="B36" s="37" t="n"/>
      <c r="C36" s="37" t="n"/>
      <c r="D36" s="37" t="n"/>
      <c r="E36" s="37" t="n"/>
    </row>
    <row r="37" ht="15" customHeight="1" s="19">
      <c r="A37" s="37" t="n"/>
      <c r="B37" s="37" t="n"/>
      <c r="C37" s="37" t="n"/>
      <c r="D37" s="37" t="n"/>
      <c r="E37" s="37" t="n"/>
    </row>
    <row r="38" ht="15" customHeight="1" s="19">
      <c r="A38" s="37" t="n"/>
      <c r="B38" s="37" t="n"/>
      <c r="C38" s="37" t="n"/>
      <c r="D38" s="37" t="n"/>
      <c r="E38" s="37" t="n"/>
    </row>
    <row r="39" ht="15" customHeight="1" s="19">
      <c r="A39" s="37" t="n"/>
      <c r="B39" s="37" t="n"/>
      <c r="C39" s="37" t="n"/>
      <c r="D39" s="37" t="n"/>
      <c r="E39" s="37" t="n"/>
    </row>
    <row r="40" ht="15" customHeight="1" s="19">
      <c r="A40" s="37" t="n"/>
      <c r="B40" s="37" t="n"/>
      <c r="C40" s="37" t="n"/>
      <c r="D40" s="37" t="n"/>
      <c r="E40" s="37" t="n"/>
    </row>
    <row r="41" ht="15" customHeight="1" s="19">
      <c r="A41" s="37" t="n"/>
      <c r="B41" s="37" t="n"/>
      <c r="C41" s="37" t="n"/>
      <c r="D41" s="37" t="n"/>
      <c r="E41" s="37" t="n"/>
    </row>
    <row r="42" ht="15" customHeight="1" s="19">
      <c r="A42" s="37" t="n"/>
      <c r="B42" s="37" t="n"/>
      <c r="C42" s="37" t="n"/>
      <c r="D42" s="37" t="n"/>
      <c r="E42" s="37" t="n"/>
    </row>
    <row r="43" ht="15" customHeight="1" s="19">
      <c r="A43" s="37" t="n"/>
      <c r="B43" s="37" t="n"/>
      <c r="C43" s="37" t="n"/>
      <c r="D43" s="37" t="n"/>
      <c r="E43" s="37" t="n"/>
    </row>
    <row r="44" ht="15" customHeight="1" s="19">
      <c r="A44" s="37" t="n"/>
      <c r="B44" s="37" t="n"/>
      <c r="C44" s="37" t="n"/>
      <c r="D44" s="37" t="n"/>
      <c r="E44" s="37" t="n"/>
    </row>
    <row r="45" ht="15" customHeight="1" s="19">
      <c r="A45" s="37" t="n"/>
      <c r="B45" s="37" t="n"/>
      <c r="C45" s="37" t="n"/>
      <c r="D45" s="37" t="n"/>
      <c r="E45" s="37" t="n"/>
    </row>
    <row r="46" ht="15" customHeight="1" s="19">
      <c r="A46" s="37" t="n"/>
      <c r="B46" s="37" t="n"/>
      <c r="C46" s="37" t="n"/>
      <c r="D46" s="37" t="n"/>
      <c r="E46" s="37" t="n"/>
    </row>
    <row r="47" ht="15" customHeight="1" s="19">
      <c r="A47" s="37" t="n"/>
      <c r="B47" s="37" t="n"/>
      <c r="C47" s="37" t="n"/>
      <c r="D47" s="37" t="n"/>
      <c r="E47" s="3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F47"/>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8" min="1" max="1"/>
    <col width="40" customWidth="1" style="18" min="2" max="2"/>
    <col width="30" customWidth="1" style="18" min="3" max="3"/>
    <col width="24" customWidth="1" style="18" min="4" max="4"/>
    <col width="34" customWidth="1" style="18" min="5" max="5"/>
  </cols>
  <sheetData>
    <row r="1" ht="17.35" customHeight="1" s="19">
      <c r="A1" s="20" t="inlineStr">
        <is>
          <t>L11 · Asset types</t>
        </is>
      </c>
    </row>
    <row r="2" ht="15" customHeight="1" s="19">
      <c r="A2" s="29" t="inlineStr">
        <is>
          <t>PENDING</t>
        </is>
      </c>
    </row>
    <row r="3" ht="30" customHeight="1" s="19">
      <c r="A3" s="21" t="inlineStr">
        <is>
          <t>Structures describing concrete authorable things, and which get user authoring first.</t>
        </is>
      </c>
    </row>
    <row r="4" ht="30" customHeight="1" s="19">
      <c r="A4" s="32" t="inlineStr">
        <is>
          <t>Every authoring surface is a real unit of work. Authorable types are what let users build without buying.</t>
        </is>
      </c>
    </row>
    <row r="6" ht="15" customHeight="1" s="19">
      <c r="A6" s="33" t="inlineStr">
        <is>
          <t>Asset type</t>
        </is>
      </c>
      <c r="B6" s="33" t="inlineStr">
        <is>
          <t>What it is</t>
        </is>
      </c>
      <c r="C6" s="33" t="inlineStr">
        <is>
          <t>User-authorable?</t>
        </is>
      </c>
      <c r="D6" s="33" t="inlineStr">
        <is>
          <t>Authoring priority</t>
        </is>
      </c>
      <c r="E6" s="33" t="inlineStr">
        <is>
          <t>Notes</t>
        </is>
      </c>
    </row>
    <row r="7" ht="23.85" customHeight="1" s="19">
      <c r="A7" s="34" t="inlineStr">
        <is>
          <t>creature</t>
        </is>
      </c>
      <c r="B7" s="34" t="inlineStr">
        <is>
          <t>A statted thing that can act</t>
        </is>
      </c>
      <c r="C7" s="34" t="inlineStr">
        <is>
          <t>yes</t>
        </is>
      </c>
      <c r="D7" s="34" t="inlineStr">
        <is>
          <t>1</t>
        </is>
      </c>
      <c r="E7" s="34" t="inlineStr">
        <is>
          <t>Vehicles are items with a Scale and a crew Relationship, not their own type</t>
        </is>
      </c>
      <c r="F7" s="35" t="inlineStr">
        <is>
          <t>← example, not data</t>
        </is>
      </c>
    </row>
    <row r="8" ht="15" customHeight="1" s="19">
      <c r="A8" s="37" t="n"/>
      <c r="B8" s="37" t="n"/>
      <c r="C8" s="37" t="n"/>
      <c r="D8" s="37" t="n"/>
      <c r="E8" s="37" t="n"/>
    </row>
    <row r="9" ht="15" customHeight="1" s="19">
      <c r="A9" s="37" t="n"/>
      <c r="B9" s="37" t="n"/>
      <c r="C9" s="37" t="n"/>
      <c r="D9" s="37" t="n"/>
      <c r="E9" s="37" t="n"/>
    </row>
    <row r="10" ht="15" customHeight="1" s="19">
      <c r="A10" s="37" t="n"/>
      <c r="B10" s="37" t="n"/>
      <c r="C10" s="37" t="n"/>
      <c r="D10" s="37" t="n"/>
      <c r="E10" s="37" t="n"/>
    </row>
    <row r="11" ht="15" customHeight="1" s="19">
      <c r="A11" s="37" t="n"/>
      <c r="B11" s="37" t="n"/>
      <c r="C11" s="37" t="n"/>
      <c r="D11" s="37" t="n"/>
      <c r="E11" s="37" t="n"/>
    </row>
    <row r="12" ht="15" customHeight="1" s="19">
      <c r="A12" s="37" t="n"/>
      <c r="B12" s="37" t="n"/>
      <c r="C12" s="37" t="n"/>
      <c r="D12" s="37" t="n"/>
      <c r="E12" s="37" t="n"/>
    </row>
    <row r="13" ht="15" customHeight="1" s="19">
      <c r="A13" s="37" t="n"/>
      <c r="B13" s="37" t="n"/>
      <c r="C13" s="37" t="n"/>
      <c r="D13" s="37" t="n"/>
      <c r="E13" s="37" t="n"/>
    </row>
    <row r="14" ht="15" customHeight="1" s="19">
      <c r="A14" s="37" t="n"/>
      <c r="B14" s="37" t="n"/>
      <c r="C14" s="37" t="n"/>
      <c r="D14" s="37" t="n"/>
      <c r="E14" s="37" t="n"/>
    </row>
    <row r="15" ht="15" customHeight="1" s="19">
      <c r="A15" s="37" t="n"/>
      <c r="B15" s="37" t="n"/>
      <c r="C15" s="37" t="n"/>
      <c r="D15" s="37" t="n"/>
      <c r="E15" s="37" t="n"/>
    </row>
    <row r="16" ht="15" customHeight="1" s="19">
      <c r="A16" s="37" t="n"/>
      <c r="B16" s="37" t="n"/>
      <c r="C16" s="37" t="n"/>
      <c r="D16" s="37" t="n"/>
      <c r="E16" s="37" t="n"/>
    </row>
    <row r="17" ht="15" customHeight="1" s="19">
      <c r="A17" s="37" t="n"/>
      <c r="B17" s="37" t="n"/>
      <c r="C17" s="37" t="n"/>
      <c r="D17" s="37" t="n"/>
      <c r="E17" s="37" t="n"/>
    </row>
    <row r="18" ht="15" customHeight="1" s="19">
      <c r="A18" s="37" t="n"/>
      <c r="B18" s="37" t="n"/>
      <c r="C18" s="37" t="n"/>
      <c r="D18" s="37" t="n"/>
      <c r="E18" s="37" t="n"/>
    </row>
    <row r="19" ht="15" customHeight="1" s="19">
      <c r="A19" s="37" t="n"/>
      <c r="B19" s="37" t="n"/>
      <c r="C19" s="37" t="n"/>
      <c r="D19" s="37" t="n"/>
      <c r="E19" s="37" t="n"/>
    </row>
    <row r="20" ht="15" customHeight="1" s="19">
      <c r="A20" s="37" t="n"/>
      <c r="B20" s="37" t="n"/>
      <c r="C20" s="37" t="n"/>
      <c r="D20" s="37" t="n"/>
      <c r="E20" s="37" t="n"/>
    </row>
    <row r="21" ht="15" customHeight="1" s="19">
      <c r="A21" s="37" t="n"/>
      <c r="B21" s="37" t="n"/>
      <c r="C21" s="37" t="n"/>
      <c r="D21" s="37" t="n"/>
      <c r="E21" s="37" t="n"/>
    </row>
    <row r="22" ht="15" customHeight="1" s="19">
      <c r="A22" s="37" t="n"/>
      <c r="B22" s="37" t="n"/>
      <c r="C22" s="37" t="n"/>
      <c r="D22" s="37" t="n"/>
      <c r="E22" s="37" t="n"/>
    </row>
    <row r="23" ht="15" customHeight="1" s="19">
      <c r="A23" s="37" t="n"/>
      <c r="B23" s="37" t="n"/>
      <c r="C23" s="37" t="n"/>
      <c r="D23" s="37" t="n"/>
      <c r="E23" s="37" t="n"/>
    </row>
    <row r="24" ht="15" customHeight="1" s="19">
      <c r="A24" s="37" t="n"/>
      <c r="B24" s="37" t="n"/>
      <c r="C24" s="37" t="n"/>
      <c r="D24" s="37" t="n"/>
      <c r="E24" s="37" t="n"/>
    </row>
    <row r="25" ht="15" customHeight="1" s="19">
      <c r="A25" s="37" t="n"/>
      <c r="B25" s="37" t="n"/>
      <c r="C25" s="37" t="n"/>
      <c r="D25" s="37" t="n"/>
      <c r="E25" s="37" t="n"/>
    </row>
    <row r="26" ht="15" customHeight="1" s="19">
      <c r="A26" s="37" t="n"/>
      <c r="B26" s="37" t="n"/>
      <c r="C26" s="37" t="n"/>
      <c r="D26" s="37" t="n"/>
      <c r="E26" s="37" t="n"/>
    </row>
    <row r="27" ht="15" customHeight="1" s="19">
      <c r="A27" s="37" t="n"/>
      <c r="B27" s="37" t="n"/>
      <c r="C27" s="37" t="n"/>
      <c r="D27" s="37" t="n"/>
      <c r="E27" s="37" t="n"/>
    </row>
    <row r="28" ht="15" customHeight="1" s="19">
      <c r="A28" s="37" t="n"/>
      <c r="B28" s="37" t="n"/>
      <c r="C28" s="37" t="n"/>
      <c r="D28" s="37" t="n"/>
      <c r="E28" s="37" t="n"/>
    </row>
    <row r="29" ht="15" customHeight="1" s="19">
      <c r="A29" s="37" t="n"/>
      <c r="B29" s="37" t="n"/>
      <c r="C29" s="37" t="n"/>
      <c r="D29" s="37" t="n"/>
      <c r="E29" s="37" t="n"/>
    </row>
    <row r="30" ht="15" customHeight="1" s="19">
      <c r="A30" s="37" t="n"/>
      <c r="B30" s="37" t="n"/>
      <c r="C30" s="37" t="n"/>
      <c r="D30" s="37" t="n"/>
      <c r="E30" s="37" t="n"/>
    </row>
    <row r="31" ht="15" customHeight="1" s="19">
      <c r="A31" s="37" t="n"/>
      <c r="B31" s="37" t="n"/>
      <c r="C31" s="37" t="n"/>
      <c r="D31" s="37" t="n"/>
      <c r="E31" s="37" t="n"/>
    </row>
    <row r="32" ht="15" customHeight="1" s="19">
      <c r="A32" s="37" t="n"/>
      <c r="B32" s="37" t="n"/>
      <c r="C32" s="37" t="n"/>
      <c r="D32" s="37" t="n"/>
      <c r="E32" s="37" t="n"/>
    </row>
    <row r="33" ht="15" customHeight="1" s="19">
      <c r="A33" s="37" t="n"/>
      <c r="B33" s="37" t="n"/>
      <c r="C33" s="37" t="n"/>
      <c r="D33" s="37" t="n"/>
      <c r="E33" s="37" t="n"/>
    </row>
    <row r="34" ht="15" customHeight="1" s="19">
      <c r="A34" s="37" t="n"/>
      <c r="B34" s="37" t="n"/>
      <c r="C34" s="37" t="n"/>
      <c r="D34" s="37" t="n"/>
      <c r="E34" s="37" t="n"/>
    </row>
    <row r="35" ht="15" customHeight="1" s="19">
      <c r="A35" s="37" t="n"/>
      <c r="B35" s="37" t="n"/>
      <c r="C35" s="37" t="n"/>
      <c r="D35" s="37" t="n"/>
      <c r="E35" s="37" t="n"/>
    </row>
    <row r="36" ht="15" customHeight="1" s="19">
      <c r="A36" s="37" t="n"/>
      <c r="B36" s="37" t="n"/>
      <c r="C36" s="37" t="n"/>
      <c r="D36" s="37" t="n"/>
      <c r="E36" s="37" t="n"/>
    </row>
    <row r="37" ht="15" customHeight="1" s="19">
      <c r="A37" s="37" t="n"/>
      <c r="B37" s="37" t="n"/>
      <c r="C37" s="37" t="n"/>
      <c r="D37" s="37" t="n"/>
      <c r="E37" s="37" t="n"/>
    </row>
    <row r="38" ht="15" customHeight="1" s="19">
      <c r="A38" s="37" t="n"/>
      <c r="B38" s="37" t="n"/>
      <c r="C38" s="37" t="n"/>
      <c r="D38" s="37" t="n"/>
      <c r="E38" s="37" t="n"/>
    </row>
    <row r="39" ht="15" customHeight="1" s="19">
      <c r="A39" s="37" t="n"/>
      <c r="B39" s="37" t="n"/>
      <c r="C39" s="37" t="n"/>
      <c r="D39" s="37" t="n"/>
      <c r="E39" s="37" t="n"/>
    </row>
    <row r="40" ht="15" customHeight="1" s="19">
      <c r="A40" s="37" t="n"/>
      <c r="B40" s="37" t="n"/>
      <c r="C40" s="37" t="n"/>
      <c r="D40" s="37" t="n"/>
      <c r="E40" s="37" t="n"/>
    </row>
    <row r="41" ht="15" customHeight="1" s="19">
      <c r="A41" s="37" t="n"/>
      <c r="B41" s="37" t="n"/>
      <c r="C41" s="37" t="n"/>
      <c r="D41" s="37" t="n"/>
      <c r="E41" s="37" t="n"/>
    </row>
    <row r="42" ht="15" customHeight="1" s="19">
      <c r="A42" s="37" t="n"/>
      <c r="B42" s="37" t="n"/>
      <c r="C42" s="37" t="n"/>
      <c r="D42" s="37" t="n"/>
      <c r="E42" s="37" t="n"/>
    </row>
    <row r="43" ht="15" customHeight="1" s="19">
      <c r="A43" s="37" t="n"/>
      <c r="B43" s="37" t="n"/>
      <c r="C43" s="37" t="n"/>
      <c r="D43" s="37" t="n"/>
      <c r="E43" s="37" t="n"/>
    </row>
    <row r="44" ht="15" customHeight="1" s="19">
      <c r="A44" s="37" t="n"/>
      <c r="B44" s="37" t="n"/>
      <c r="C44" s="37" t="n"/>
      <c r="D44" s="37" t="n"/>
      <c r="E44" s="37" t="n"/>
    </row>
    <row r="45" ht="15" customHeight="1" s="19">
      <c r="A45" s="37" t="n"/>
      <c r="B45" s="37" t="n"/>
      <c r="C45" s="37" t="n"/>
      <c r="D45" s="37" t="n"/>
      <c r="E45" s="37" t="n"/>
    </row>
    <row r="46" ht="15" customHeight="1" s="19">
      <c r="A46" s="37" t="n"/>
      <c r="B46" s="37" t="n"/>
      <c r="C46" s="37" t="n"/>
      <c r="D46" s="37" t="n"/>
      <c r="E46" s="37" t="n"/>
    </row>
    <row r="47" ht="15" customHeight="1" s="19">
      <c r="A47" s="37" t="n"/>
      <c r="B47" s="37" t="n"/>
      <c r="C47" s="37" t="n"/>
      <c r="D47" s="37" t="n"/>
      <c r="E47" s="3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F47"/>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8" min="1" max="1"/>
    <col width="40" customWidth="1" style="18" min="2" max="2"/>
    <col width="30" customWidth="1" style="18" min="3" max="3"/>
    <col width="24" customWidth="1" style="18" min="4" max="4"/>
    <col width="34" customWidth="1" style="18" min="5" max="5"/>
  </cols>
  <sheetData>
    <row r="1" ht="17.35" customHeight="1" s="19">
      <c r="A1" s="20" t="inlineStr">
        <is>
          <t>L12 · Rails binding scopes</t>
        </is>
      </c>
    </row>
    <row r="2" ht="15" customHeight="1" s="19">
      <c r="A2" s="29" t="inlineStr">
        <is>
          <t>PENDING</t>
        </is>
      </c>
    </row>
    <row r="3" ht="30" customHeight="1" s="19">
      <c r="A3" s="21" t="inlineStr">
        <is>
          <t>Who sets each Component's dial — the player, the GM, or the table.</t>
        </is>
      </c>
    </row>
    <row r="4" ht="30" customHeight="1" s="19">
      <c r="A4" s="32" t="inlineStr">
        <is>
          <t>Threshold visibility is a built-in GM setting, not a per-Component rail.</t>
        </is>
      </c>
    </row>
    <row r="6" ht="15" customHeight="1" s="19">
      <c r="A6" s="33" t="inlineStr">
        <is>
          <t>Scope</t>
        </is>
      </c>
      <c r="B6" s="33" t="inlineStr">
        <is>
          <t>What it means</t>
        </is>
      </c>
      <c r="C6" s="33" t="inlineStr">
        <is>
          <t>Example dial</t>
        </is>
      </c>
      <c r="D6" s="33" t="inlineStr">
        <is>
          <t>Default</t>
        </is>
      </c>
      <c r="E6" s="33" t="inlineStr">
        <is>
          <t>Notes</t>
        </is>
      </c>
    </row>
    <row r="7" ht="15" customHeight="1" s="19">
      <c r="A7" s="34" t="inlineStr">
        <is>
          <t>table</t>
        </is>
      </c>
      <c r="B7" s="34" t="inlineStr">
        <is>
          <t>One setting for everyone</t>
        </is>
      </c>
      <c r="C7" s="34" t="inlineStr">
        <is>
          <t>Does the app run initiative</t>
        </is>
      </c>
      <c r="D7" s="34" t="inlineStr">
        <is>
          <t>GM</t>
        </is>
      </c>
      <c r="E7" s="34" t="inlineStr">
        <is>
          <t>Socket occupants have rails too</t>
        </is>
      </c>
      <c r="F7" s="35" t="inlineStr">
        <is>
          <t>← example, not data</t>
        </is>
      </c>
    </row>
    <row r="8" ht="15" customHeight="1" s="19">
      <c r="A8" s="37" t="n"/>
      <c r="B8" s="37" t="n"/>
      <c r="C8" s="37" t="n"/>
      <c r="D8" s="37" t="n"/>
      <c r="E8" s="37" t="n"/>
    </row>
    <row r="9" ht="15" customHeight="1" s="19">
      <c r="A9" s="37" t="n"/>
      <c r="B9" s="37" t="n"/>
      <c r="C9" s="37" t="n"/>
      <c r="D9" s="37" t="n"/>
      <c r="E9" s="37" t="n"/>
    </row>
    <row r="10" ht="15" customHeight="1" s="19">
      <c r="A10" s="37" t="n"/>
      <c r="B10" s="37" t="n"/>
      <c r="C10" s="37" t="n"/>
      <c r="D10" s="37" t="n"/>
      <c r="E10" s="37" t="n"/>
    </row>
    <row r="11" ht="15" customHeight="1" s="19">
      <c r="A11" s="37" t="n"/>
      <c r="B11" s="37" t="n"/>
      <c r="C11" s="37" t="n"/>
      <c r="D11" s="37" t="n"/>
      <c r="E11" s="37" t="n"/>
    </row>
    <row r="12" ht="15" customHeight="1" s="19">
      <c r="A12" s="37" t="n"/>
      <c r="B12" s="37" t="n"/>
      <c r="C12" s="37" t="n"/>
      <c r="D12" s="37" t="n"/>
      <c r="E12" s="37" t="n"/>
    </row>
    <row r="13" ht="15" customHeight="1" s="19">
      <c r="A13" s="37" t="n"/>
      <c r="B13" s="37" t="n"/>
      <c r="C13" s="37" t="n"/>
      <c r="D13" s="37" t="n"/>
      <c r="E13" s="37" t="n"/>
    </row>
    <row r="14" ht="15" customHeight="1" s="19">
      <c r="A14" s="37" t="n"/>
      <c r="B14" s="37" t="n"/>
      <c r="C14" s="37" t="n"/>
      <c r="D14" s="37" t="n"/>
      <c r="E14" s="37" t="n"/>
    </row>
    <row r="15" ht="15" customHeight="1" s="19">
      <c r="A15" s="37" t="n"/>
      <c r="B15" s="37" t="n"/>
      <c r="C15" s="37" t="n"/>
      <c r="D15" s="37" t="n"/>
      <c r="E15" s="37" t="n"/>
    </row>
    <row r="16" ht="15" customHeight="1" s="19">
      <c r="A16" s="37" t="n"/>
      <c r="B16" s="37" t="n"/>
      <c r="C16" s="37" t="n"/>
      <c r="D16" s="37" t="n"/>
      <c r="E16" s="37" t="n"/>
    </row>
    <row r="17" ht="15" customHeight="1" s="19">
      <c r="A17" s="37" t="n"/>
      <c r="B17" s="37" t="n"/>
      <c r="C17" s="37" t="n"/>
      <c r="D17" s="37" t="n"/>
      <c r="E17" s="37" t="n"/>
    </row>
    <row r="18" ht="15" customHeight="1" s="19">
      <c r="A18" s="37" t="n"/>
      <c r="B18" s="37" t="n"/>
      <c r="C18" s="37" t="n"/>
      <c r="D18" s="37" t="n"/>
      <c r="E18" s="37" t="n"/>
    </row>
    <row r="19" ht="15" customHeight="1" s="19">
      <c r="A19" s="37" t="n"/>
      <c r="B19" s="37" t="n"/>
      <c r="C19" s="37" t="n"/>
      <c r="D19" s="37" t="n"/>
      <c r="E19" s="37" t="n"/>
    </row>
    <row r="20" ht="15" customHeight="1" s="19">
      <c r="A20" s="37" t="n"/>
      <c r="B20" s="37" t="n"/>
      <c r="C20" s="37" t="n"/>
      <c r="D20" s="37" t="n"/>
      <c r="E20" s="37" t="n"/>
    </row>
    <row r="21" ht="15" customHeight="1" s="19">
      <c r="A21" s="37" t="n"/>
      <c r="B21" s="37" t="n"/>
      <c r="C21" s="37" t="n"/>
      <c r="D21" s="37" t="n"/>
      <c r="E21" s="37" t="n"/>
    </row>
    <row r="22" ht="15" customHeight="1" s="19">
      <c r="A22" s="37" t="n"/>
      <c r="B22" s="37" t="n"/>
      <c r="C22" s="37" t="n"/>
      <c r="D22" s="37" t="n"/>
      <c r="E22" s="37" t="n"/>
    </row>
    <row r="23" ht="15" customHeight="1" s="19">
      <c r="A23" s="37" t="n"/>
      <c r="B23" s="37" t="n"/>
      <c r="C23" s="37" t="n"/>
      <c r="D23" s="37" t="n"/>
      <c r="E23" s="37" t="n"/>
    </row>
    <row r="24" ht="15" customHeight="1" s="19">
      <c r="A24" s="37" t="n"/>
      <c r="B24" s="37" t="n"/>
      <c r="C24" s="37" t="n"/>
      <c r="D24" s="37" t="n"/>
      <c r="E24" s="37" t="n"/>
    </row>
    <row r="25" ht="15" customHeight="1" s="19">
      <c r="A25" s="37" t="n"/>
      <c r="B25" s="37" t="n"/>
      <c r="C25" s="37" t="n"/>
      <c r="D25" s="37" t="n"/>
      <c r="E25" s="37" t="n"/>
    </row>
    <row r="26" ht="15" customHeight="1" s="19">
      <c r="A26" s="37" t="n"/>
      <c r="B26" s="37" t="n"/>
      <c r="C26" s="37" t="n"/>
      <c r="D26" s="37" t="n"/>
      <c r="E26" s="37" t="n"/>
    </row>
    <row r="27" ht="15" customHeight="1" s="19">
      <c r="A27" s="37" t="n"/>
      <c r="B27" s="37" t="n"/>
      <c r="C27" s="37" t="n"/>
      <c r="D27" s="37" t="n"/>
      <c r="E27" s="37" t="n"/>
    </row>
    <row r="28" ht="15" customHeight="1" s="19">
      <c r="A28" s="37" t="n"/>
      <c r="B28" s="37" t="n"/>
      <c r="C28" s="37" t="n"/>
      <c r="D28" s="37" t="n"/>
      <c r="E28" s="37" t="n"/>
    </row>
    <row r="29" ht="15" customHeight="1" s="19">
      <c r="A29" s="37" t="n"/>
      <c r="B29" s="37" t="n"/>
      <c r="C29" s="37" t="n"/>
      <c r="D29" s="37" t="n"/>
      <c r="E29" s="37" t="n"/>
    </row>
    <row r="30" ht="15" customHeight="1" s="19">
      <c r="A30" s="37" t="n"/>
      <c r="B30" s="37" t="n"/>
      <c r="C30" s="37" t="n"/>
      <c r="D30" s="37" t="n"/>
      <c r="E30" s="37" t="n"/>
    </row>
    <row r="31" ht="15" customHeight="1" s="19">
      <c r="A31" s="37" t="n"/>
      <c r="B31" s="37" t="n"/>
      <c r="C31" s="37" t="n"/>
      <c r="D31" s="37" t="n"/>
      <c r="E31" s="37" t="n"/>
    </row>
    <row r="32" ht="15" customHeight="1" s="19">
      <c r="A32" s="37" t="n"/>
      <c r="B32" s="37" t="n"/>
      <c r="C32" s="37" t="n"/>
      <c r="D32" s="37" t="n"/>
      <c r="E32" s="37" t="n"/>
    </row>
    <row r="33" ht="15" customHeight="1" s="19">
      <c r="A33" s="37" t="n"/>
      <c r="B33" s="37" t="n"/>
      <c r="C33" s="37" t="n"/>
      <c r="D33" s="37" t="n"/>
      <c r="E33" s="37" t="n"/>
    </row>
    <row r="34" ht="15" customHeight="1" s="19">
      <c r="A34" s="37" t="n"/>
      <c r="B34" s="37" t="n"/>
      <c r="C34" s="37" t="n"/>
      <c r="D34" s="37" t="n"/>
      <c r="E34" s="37" t="n"/>
    </row>
    <row r="35" ht="15" customHeight="1" s="19">
      <c r="A35" s="37" t="n"/>
      <c r="B35" s="37" t="n"/>
      <c r="C35" s="37" t="n"/>
      <c r="D35" s="37" t="n"/>
      <c r="E35" s="37" t="n"/>
    </row>
    <row r="36" ht="15" customHeight="1" s="19">
      <c r="A36" s="37" t="n"/>
      <c r="B36" s="37" t="n"/>
      <c r="C36" s="37" t="n"/>
      <c r="D36" s="37" t="n"/>
      <c r="E36" s="37" t="n"/>
    </row>
    <row r="37" ht="15" customHeight="1" s="19">
      <c r="A37" s="37" t="n"/>
      <c r="B37" s="37" t="n"/>
      <c r="C37" s="37" t="n"/>
      <c r="D37" s="37" t="n"/>
      <c r="E37" s="37" t="n"/>
    </row>
    <row r="38" ht="15" customHeight="1" s="19">
      <c r="A38" s="37" t="n"/>
      <c r="B38" s="37" t="n"/>
      <c r="C38" s="37" t="n"/>
      <c r="D38" s="37" t="n"/>
      <c r="E38" s="37" t="n"/>
    </row>
    <row r="39" ht="15" customHeight="1" s="19">
      <c r="A39" s="37" t="n"/>
      <c r="B39" s="37" t="n"/>
      <c r="C39" s="37" t="n"/>
      <c r="D39" s="37" t="n"/>
      <c r="E39" s="37" t="n"/>
    </row>
    <row r="40" ht="15" customHeight="1" s="19">
      <c r="A40" s="37" t="n"/>
      <c r="B40" s="37" t="n"/>
      <c r="C40" s="37" t="n"/>
      <c r="D40" s="37" t="n"/>
      <c r="E40" s="37" t="n"/>
    </row>
    <row r="41" ht="15" customHeight="1" s="19">
      <c r="A41" s="37" t="n"/>
      <c r="B41" s="37" t="n"/>
      <c r="C41" s="37" t="n"/>
      <c r="D41" s="37" t="n"/>
      <c r="E41" s="37" t="n"/>
    </row>
    <row r="42" ht="15" customHeight="1" s="19">
      <c r="A42" s="37" t="n"/>
      <c r="B42" s="37" t="n"/>
      <c r="C42" s="37" t="n"/>
      <c r="D42" s="37" t="n"/>
      <c r="E42" s="37" t="n"/>
    </row>
    <row r="43" ht="15" customHeight="1" s="19">
      <c r="A43" s="37" t="n"/>
      <c r="B43" s="37" t="n"/>
      <c r="C43" s="37" t="n"/>
      <c r="D43" s="37" t="n"/>
      <c r="E43" s="37" t="n"/>
    </row>
    <row r="44" ht="15" customHeight="1" s="19">
      <c r="A44" s="37" t="n"/>
      <c r="B44" s="37" t="n"/>
      <c r="C44" s="37" t="n"/>
      <c r="D44" s="37" t="n"/>
      <c r="E44" s="37" t="n"/>
    </row>
    <row r="45" ht="15" customHeight="1" s="19">
      <c r="A45" s="37" t="n"/>
      <c r="B45" s="37" t="n"/>
      <c r="C45" s="37" t="n"/>
      <c r="D45" s="37" t="n"/>
      <c r="E45" s="37" t="n"/>
    </row>
    <row r="46" ht="15" customHeight="1" s="19">
      <c r="A46" s="37" t="n"/>
      <c r="B46" s="37" t="n"/>
      <c r="C46" s="37" t="n"/>
      <c r="D46" s="37" t="n"/>
      <c r="E46" s="37" t="n"/>
    </row>
    <row r="47" ht="15" customHeight="1" s="19">
      <c r="A47" s="37" t="n"/>
      <c r="B47" s="37" t="n"/>
      <c r="C47" s="37" t="n"/>
      <c r="D47" s="37" t="n"/>
      <c r="E47" s="3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F47"/>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8" min="1" max="1"/>
    <col width="40" customWidth="1" style="18" min="2" max="2"/>
    <col width="30" customWidth="1" style="18" min="3" max="3"/>
    <col width="24" customWidth="1" style="18" min="4" max="4"/>
    <col width="34" customWidth="1" style="18" min="5" max="5"/>
  </cols>
  <sheetData>
    <row r="1" ht="17.35" customHeight="1" s="19">
      <c r="A1" s="20" t="inlineStr">
        <is>
          <t>L13 · Record types</t>
        </is>
      </c>
    </row>
    <row r="2" ht="15" customHeight="1" s="19">
      <c r="A2" s="29" t="inlineStr">
        <is>
          <t>PENDING</t>
        </is>
      </c>
    </row>
    <row r="3" ht="30" customHeight="1" s="19">
      <c r="A3" s="21" t="inlineStr">
        <is>
          <t>The kinds of entry that can appear in the Ledger. A Verb invocation is only one of them.</t>
        </is>
      </c>
    </row>
    <row r="4" ht="30" customHeight="1" s="19">
      <c r="A4" s="32" t="inlineStr">
        <is>
          <t>Non-Verb Records must stay genuinely inert. The moment a 'note' changes state, the determinism argument collapses.</t>
        </is>
      </c>
    </row>
    <row r="6" ht="15" customHeight="1" s="19">
      <c r="A6" s="33" t="inlineStr">
        <is>
          <t>Record type</t>
        </is>
      </c>
      <c r="B6" s="33" t="inlineStr">
        <is>
          <t>Changes state?</t>
        </is>
      </c>
      <c r="C6" s="33" t="inlineStr">
        <is>
          <t>Payload summary</t>
        </is>
      </c>
      <c r="D6" s="33" t="inlineStr">
        <is>
          <t>Delivery default</t>
        </is>
      </c>
      <c r="E6" s="33" t="inlineStr">
        <is>
          <t>Notes</t>
        </is>
      </c>
    </row>
    <row r="7" ht="23.85" customHeight="1" s="19">
      <c r="A7" s="34" t="inlineStr">
        <is>
          <t>gm assertion</t>
        </is>
      </c>
      <c r="B7" s="34" t="inlineStr">
        <is>
          <t>no</t>
        </is>
      </c>
      <c r="C7" s="34" t="inlineStr">
        <is>
          <t>Free text plus the Entities it concerns</t>
        </is>
      </c>
      <c r="D7" s="34" t="inlineStr">
        <is>
          <t>everyone</t>
        </is>
      </c>
      <c r="E7" s="34" t="inlineStr">
        <is>
          <t>What lets the system absorb improvisation without understanding it</t>
        </is>
      </c>
      <c r="F7" s="35" t="inlineStr">
        <is>
          <t>← example, not data</t>
        </is>
      </c>
    </row>
    <row r="8" ht="15" customHeight="1" s="19">
      <c r="A8" s="37" t="n"/>
      <c r="B8" s="37" t="n"/>
      <c r="C8" s="37" t="n"/>
      <c r="D8" s="37" t="n"/>
      <c r="E8" s="37" t="n"/>
    </row>
    <row r="9" ht="15" customHeight="1" s="19">
      <c r="A9" s="37" t="n"/>
      <c r="B9" s="37" t="n"/>
      <c r="C9" s="37" t="n"/>
      <c r="D9" s="37" t="n"/>
      <c r="E9" s="37" t="n"/>
    </row>
    <row r="10" ht="15" customHeight="1" s="19">
      <c r="A10" s="37" t="n"/>
      <c r="B10" s="37" t="n"/>
      <c r="C10" s="37" t="n"/>
      <c r="D10" s="37" t="n"/>
      <c r="E10" s="37" t="n"/>
    </row>
    <row r="11" ht="15" customHeight="1" s="19">
      <c r="A11" s="37" t="n"/>
      <c r="B11" s="37" t="n"/>
      <c r="C11" s="37" t="n"/>
      <c r="D11" s="37" t="n"/>
      <c r="E11" s="37" t="n"/>
    </row>
    <row r="12" ht="15" customHeight="1" s="19">
      <c r="A12" s="37" t="n"/>
      <c r="B12" s="37" t="n"/>
      <c r="C12" s="37" t="n"/>
      <c r="D12" s="37" t="n"/>
      <c r="E12" s="37" t="n"/>
    </row>
    <row r="13" ht="15" customHeight="1" s="19">
      <c r="A13" s="37" t="n"/>
      <c r="B13" s="37" t="n"/>
      <c r="C13" s="37" t="n"/>
      <c r="D13" s="37" t="n"/>
      <c r="E13" s="37" t="n"/>
    </row>
    <row r="14" ht="15" customHeight="1" s="19">
      <c r="A14" s="37" t="n"/>
      <c r="B14" s="37" t="n"/>
      <c r="C14" s="37" t="n"/>
      <c r="D14" s="37" t="n"/>
      <c r="E14" s="37" t="n"/>
    </row>
    <row r="15" ht="15" customHeight="1" s="19">
      <c r="A15" s="37" t="n"/>
      <c r="B15" s="37" t="n"/>
      <c r="C15" s="37" t="n"/>
      <c r="D15" s="37" t="n"/>
      <c r="E15" s="37" t="n"/>
    </row>
    <row r="16" ht="15" customHeight="1" s="19">
      <c r="A16" s="37" t="n"/>
      <c r="B16" s="37" t="n"/>
      <c r="C16" s="37" t="n"/>
      <c r="D16" s="37" t="n"/>
      <c r="E16" s="37" t="n"/>
    </row>
    <row r="17" ht="15" customHeight="1" s="19">
      <c r="A17" s="37" t="n"/>
      <c r="B17" s="37" t="n"/>
      <c r="C17" s="37" t="n"/>
      <c r="D17" s="37" t="n"/>
      <c r="E17" s="37" t="n"/>
    </row>
    <row r="18" ht="15" customHeight="1" s="19">
      <c r="A18" s="37" t="n"/>
      <c r="B18" s="37" t="n"/>
      <c r="C18" s="37" t="n"/>
      <c r="D18" s="37" t="n"/>
      <c r="E18" s="37" t="n"/>
    </row>
    <row r="19" ht="15" customHeight="1" s="19">
      <c r="A19" s="37" t="n"/>
      <c r="B19" s="37" t="n"/>
      <c r="C19" s="37" t="n"/>
      <c r="D19" s="37" t="n"/>
      <c r="E19" s="37" t="n"/>
    </row>
    <row r="20" ht="15" customHeight="1" s="19">
      <c r="A20" s="37" t="n"/>
      <c r="B20" s="37" t="n"/>
      <c r="C20" s="37" t="n"/>
      <c r="D20" s="37" t="n"/>
      <c r="E20" s="37" t="n"/>
    </row>
    <row r="21" ht="15" customHeight="1" s="19">
      <c r="A21" s="37" t="n"/>
      <c r="B21" s="37" t="n"/>
      <c r="C21" s="37" t="n"/>
      <c r="D21" s="37" t="n"/>
      <c r="E21" s="37" t="n"/>
    </row>
    <row r="22" ht="15" customHeight="1" s="19">
      <c r="A22" s="37" t="n"/>
      <c r="B22" s="37" t="n"/>
      <c r="C22" s="37" t="n"/>
      <c r="D22" s="37" t="n"/>
      <c r="E22" s="37" t="n"/>
    </row>
    <row r="23" ht="15" customHeight="1" s="19">
      <c r="A23" s="37" t="n"/>
      <c r="B23" s="37" t="n"/>
      <c r="C23" s="37" t="n"/>
      <c r="D23" s="37" t="n"/>
      <c r="E23" s="37" t="n"/>
    </row>
    <row r="24" ht="15" customHeight="1" s="19">
      <c r="A24" s="37" t="n"/>
      <c r="B24" s="37" t="n"/>
      <c r="C24" s="37" t="n"/>
      <c r="D24" s="37" t="n"/>
      <c r="E24" s="37" t="n"/>
    </row>
    <row r="25" ht="15" customHeight="1" s="19">
      <c r="A25" s="37" t="n"/>
      <c r="B25" s="37" t="n"/>
      <c r="C25" s="37" t="n"/>
      <c r="D25" s="37" t="n"/>
      <c r="E25" s="37" t="n"/>
    </row>
    <row r="26" ht="15" customHeight="1" s="19">
      <c r="A26" s="37" t="n"/>
      <c r="B26" s="37" t="n"/>
      <c r="C26" s="37" t="n"/>
      <c r="D26" s="37" t="n"/>
      <c r="E26" s="37" t="n"/>
    </row>
    <row r="27" ht="15" customHeight="1" s="19">
      <c r="A27" s="37" t="n"/>
      <c r="B27" s="37" t="n"/>
      <c r="C27" s="37" t="n"/>
      <c r="D27" s="37" t="n"/>
      <c r="E27" s="37" t="n"/>
    </row>
    <row r="28" ht="15" customHeight="1" s="19">
      <c r="A28" s="37" t="n"/>
      <c r="B28" s="37" t="n"/>
      <c r="C28" s="37" t="n"/>
      <c r="D28" s="37" t="n"/>
      <c r="E28" s="37" t="n"/>
    </row>
    <row r="29" ht="15" customHeight="1" s="19">
      <c r="A29" s="37" t="n"/>
      <c r="B29" s="37" t="n"/>
      <c r="C29" s="37" t="n"/>
      <c r="D29" s="37" t="n"/>
      <c r="E29" s="37" t="n"/>
    </row>
    <row r="30" ht="15" customHeight="1" s="19">
      <c r="A30" s="37" t="n"/>
      <c r="B30" s="37" t="n"/>
      <c r="C30" s="37" t="n"/>
      <c r="D30" s="37" t="n"/>
      <c r="E30" s="37" t="n"/>
    </row>
    <row r="31" ht="15" customHeight="1" s="19">
      <c r="A31" s="37" t="n"/>
      <c r="B31" s="37" t="n"/>
      <c r="C31" s="37" t="n"/>
      <c r="D31" s="37" t="n"/>
      <c r="E31" s="37" t="n"/>
    </row>
    <row r="32" ht="15" customHeight="1" s="19">
      <c r="A32" s="37" t="n"/>
      <c r="B32" s="37" t="n"/>
      <c r="C32" s="37" t="n"/>
      <c r="D32" s="37" t="n"/>
      <c r="E32" s="37" t="n"/>
    </row>
    <row r="33" ht="15" customHeight="1" s="19">
      <c r="A33" s="37" t="n"/>
      <c r="B33" s="37" t="n"/>
      <c r="C33" s="37" t="n"/>
      <c r="D33" s="37" t="n"/>
      <c r="E33" s="37" t="n"/>
    </row>
    <row r="34" ht="15" customHeight="1" s="19">
      <c r="A34" s="37" t="n"/>
      <c r="B34" s="37" t="n"/>
      <c r="C34" s="37" t="n"/>
      <c r="D34" s="37" t="n"/>
      <c r="E34" s="37" t="n"/>
    </row>
    <row r="35" ht="15" customHeight="1" s="19">
      <c r="A35" s="37" t="n"/>
      <c r="B35" s="37" t="n"/>
      <c r="C35" s="37" t="n"/>
      <c r="D35" s="37" t="n"/>
      <c r="E35" s="37" t="n"/>
    </row>
    <row r="36" ht="15" customHeight="1" s="19">
      <c r="A36" s="37" t="n"/>
      <c r="B36" s="37" t="n"/>
      <c r="C36" s="37" t="n"/>
      <c r="D36" s="37" t="n"/>
      <c r="E36" s="37" t="n"/>
    </row>
    <row r="37" ht="15" customHeight="1" s="19">
      <c r="A37" s="37" t="n"/>
      <c r="B37" s="37" t="n"/>
      <c r="C37" s="37" t="n"/>
      <c r="D37" s="37" t="n"/>
      <c r="E37" s="37" t="n"/>
    </row>
    <row r="38" ht="15" customHeight="1" s="19">
      <c r="A38" s="37" t="n"/>
      <c r="B38" s="37" t="n"/>
      <c r="C38" s="37" t="n"/>
      <c r="D38" s="37" t="n"/>
      <c r="E38" s="37" t="n"/>
    </row>
    <row r="39" ht="15" customHeight="1" s="19">
      <c r="A39" s="37" t="n"/>
      <c r="B39" s="37" t="n"/>
      <c r="C39" s="37" t="n"/>
      <c r="D39" s="37" t="n"/>
      <c r="E39" s="37" t="n"/>
    </row>
    <row r="40" ht="15" customHeight="1" s="19">
      <c r="A40" s="37" t="n"/>
      <c r="B40" s="37" t="n"/>
      <c r="C40" s="37" t="n"/>
      <c r="D40" s="37" t="n"/>
      <c r="E40" s="37" t="n"/>
    </row>
    <row r="41" ht="15" customHeight="1" s="19">
      <c r="A41" s="37" t="n"/>
      <c r="B41" s="37" t="n"/>
      <c r="C41" s="37" t="n"/>
      <c r="D41" s="37" t="n"/>
      <c r="E41" s="37" t="n"/>
    </row>
    <row r="42" ht="15" customHeight="1" s="19">
      <c r="A42" s="37" t="n"/>
      <c r="B42" s="37" t="n"/>
      <c r="C42" s="37" t="n"/>
      <c r="D42" s="37" t="n"/>
      <c r="E42" s="37" t="n"/>
    </row>
    <row r="43" ht="15" customHeight="1" s="19">
      <c r="A43" s="37" t="n"/>
      <c r="B43" s="37" t="n"/>
      <c r="C43" s="37" t="n"/>
      <c r="D43" s="37" t="n"/>
      <c r="E43" s="37" t="n"/>
    </row>
    <row r="44" ht="15" customHeight="1" s="19">
      <c r="A44" s="37" t="n"/>
      <c r="B44" s="37" t="n"/>
      <c r="C44" s="37" t="n"/>
      <c r="D44" s="37" t="n"/>
      <c r="E44" s="37" t="n"/>
    </row>
    <row r="45" ht="15" customHeight="1" s="19">
      <c r="A45" s="37" t="n"/>
      <c r="B45" s="37" t="n"/>
      <c r="C45" s="37" t="n"/>
      <c r="D45" s="37" t="n"/>
      <c r="E45" s="37" t="n"/>
    </row>
    <row r="46" ht="15" customHeight="1" s="19">
      <c r="A46" s="37" t="n"/>
      <c r="B46" s="37" t="n"/>
      <c r="C46" s="37" t="n"/>
      <c r="D46" s="37" t="n"/>
      <c r="E46" s="37" t="n"/>
    </row>
    <row r="47" ht="15" customHeight="1" s="19">
      <c r="A47" s="37" t="n"/>
      <c r="B47" s="37" t="n"/>
      <c r="C47" s="37" t="n"/>
      <c r="D47" s="37" t="n"/>
      <c r="E47" s="3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F47"/>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8" min="1" max="1"/>
    <col width="40" customWidth="1" style="18" min="2" max="2"/>
    <col width="30" customWidth="1" style="18" min="3" max="3"/>
    <col width="24" customWidth="1" style="18" min="4" max="4"/>
    <col width="34" customWidth="1" style="18" min="5" max="5"/>
  </cols>
  <sheetData>
    <row r="1" ht="17.35" customHeight="1" s="19">
      <c r="A1" s="20" t="inlineStr">
        <is>
          <t>L18 · Aggregation operators</t>
        </is>
      </c>
    </row>
    <row r="2" ht="15" customHeight="1" s="19">
      <c r="A2" s="28" t="inlineStr">
        <is>
          <t>PENDING · BLOCKING</t>
        </is>
      </c>
    </row>
    <row r="3" ht="30" customHeight="1" s="19">
      <c r="A3" s="21" t="inlineStr">
        <is>
          <t>How multiple contributions to one value combine. Declared per Noun kind, overridable only from this closed list.</t>
        </is>
      </c>
    </row>
    <row r="4" ht="30" customHeight="1" s="19">
      <c r="A4" s="32" t="inlineStr">
        <is>
          <t>REVISED. Everything on the resolution path is settled; what remains is the other Noun kinds. NOTE: this is a DIFFERENT question from how a THRESHOLD reads multiple contributors (sum / highest / each), which was settled in L29.</t>
        </is>
      </c>
    </row>
    <row r="6" ht="15" customHeight="1" s="19">
      <c r="A6" s="33" t="inlineStr">
        <is>
          <t>Operator</t>
        </is>
      </c>
      <c r="B6" s="33" t="inlineStr">
        <is>
          <t>Applies to which Noun kinds</t>
        </is>
      </c>
      <c r="C6" s="33" t="inlineStr">
        <is>
          <t>Behaviour</t>
        </is>
      </c>
      <c r="D6" s="33" t="inlineStr">
        <is>
          <t>Default for</t>
        </is>
      </c>
      <c r="E6" s="33" t="inlineStr">
        <is>
          <t>Notes</t>
        </is>
      </c>
    </row>
    <row r="7" ht="15" customHeight="1" s="19">
      <c r="A7" s="34" t="inlineStr">
        <is>
          <t>max</t>
        </is>
      </c>
      <c r="B7" s="34" t="inlineStr">
        <is>
          <t>State</t>
        </is>
      </c>
      <c r="C7" s="34" t="inlineStr">
        <is>
          <t>Highest applicable wins</t>
        </is>
      </c>
      <c r="D7" s="34" t="inlineStr">
        <is>
          <t>States within an axis</t>
        </is>
      </c>
      <c r="E7" s="34" t="inlineStr">
        <is>
          <t>Removes an entire bug class versus sum</t>
        </is>
      </c>
      <c r="F7" s="35" t="inlineStr">
        <is>
          <t>← example, not data</t>
        </is>
      </c>
    </row>
    <row r="8" ht="15" customHeight="1" s="19">
      <c r="A8" s="36" t="inlineStr">
        <is>
          <t>sum</t>
        </is>
      </c>
      <c r="B8" s="36" t="inlineStr">
        <is>
          <t>Capacity, Channel values, percentages</t>
        </is>
      </c>
      <c r="C8" s="36" t="inlineStr">
        <is>
          <t>add, then clamp</t>
        </is>
      </c>
      <c r="D8" s="36" t="inlineStr">
        <is>
          <t>everything on the resolution path</t>
        </is>
      </c>
      <c r="E8" s="36" t="inlineStr">
        <is>
          <t>SETTLED in Phase 0. Percentages sum, nothing compounds</t>
        </is>
      </c>
    </row>
    <row r="9" ht="15" customHeight="1" s="19">
      <c r="A9" s="36" t="inlineStr">
        <is>
          <t>max</t>
        </is>
      </c>
      <c r="B9" s="36" t="inlineStr">
        <is>
          <t>State magnitude within an axis; Baseline</t>
        </is>
      </c>
      <c r="C9" s="36" t="inlineStr">
        <is>
          <t>take the highest</t>
        </is>
      </c>
      <c r="D9" s="36" t="inlineStr">
        <is>
          <t>States, Baselines</t>
        </is>
      </c>
      <c r="E9" s="36" t="inlineStr">
        <is>
          <t>PROPOSED. Order-free, therefore safe</t>
        </is>
      </c>
    </row>
    <row r="10" ht="15" customHeight="1" s="19">
      <c r="A10" s="36" t="inlineStr">
        <is>
          <t>union</t>
        </is>
      </c>
      <c r="B10" s="36" t="inlineStr">
        <is>
          <t>Tag</t>
        </is>
      </c>
      <c r="C10" s="36" t="inlineStr">
        <is>
          <t>set union by ID</t>
        </is>
      </c>
      <c r="D10" s="36" t="inlineStr">
        <is>
          <t>Tags</t>
        </is>
      </c>
      <c r="E10" s="36" t="inlineStr">
        <is>
          <t>PROPOSED. Order-free</t>
        </is>
      </c>
    </row>
    <row r="11" ht="15" customHeight="1" s="19">
      <c r="A11" s="36" t="inlineStr">
        <is>
          <t>clamp</t>
        </is>
      </c>
      <c r="B11" s="36" t="inlineStr">
        <is>
          <t>Resource</t>
        </is>
      </c>
      <c r="C11" s="36" t="inlineStr">
        <is>
          <t>add, then bound at min and max</t>
        </is>
      </c>
      <c r="D11" s="36" t="inlineStr">
        <is>
          <t>Resources</t>
        </is>
      </c>
      <c r="E11" s="36" t="inlineStr">
        <is>
          <t>PROPOSED</t>
        </is>
      </c>
    </row>
    <row r="12" ht="15" customHeight="1" s="19">
      <c r="A12" s="36" t="inlineStr">
        <is>
          <t>per-Connection</t>
        </is>
      </c>
      <c r="B12" s="36" t="inlineStr">
        <is>
          <t>Relationship</t>
        </is>
      </c>
      <c r="C12" s="36" t="inlineStr">
        <is>
          <t>NEVER merge — each participant's stance stands alone</t>
        </is>
      </c>
      <c r="D12" s="36" t="inlineStr">
        <is>
          <t>Relationships</t>
        </is>
      </c>
      <c r="E12" s="36" t="inlineStr">
        <is>
          <t>PROPOSED. This is why a Relationship is a Category of Entity rather than an edge</t>
        </is>
      </c>
    </row>
    <row r="13" ht="15" customHeight="1" s="19">
      <c r="A13" s="36" t="inlineStr"/>
      <c r="B13" s="36" t="inlineStr"/>
      <c r="C13" s="36" t="inlineStr"/>
      <c r="D13" s="36" t="inlineStr"/>
      <c r="E13" s="36" t="inlineStr"/>
    </row>
    <row r="14" ht="15" customHeight="1" s="19">
      <c r="A14" s="36" t="inlineStr">
        <is>
          <t>THE TEST: apply each operator to the same three inputs in six different orders. Any operator that gives different answers is wrong.</t>
        </is>
      </c>
      <c r="B14" s="36" t="inlineStr"/>
      <c r="C14" s="36" t="inlineStr"/>
      <c r="D14" s="36" t="inlineStr"/>
      <c r="E14" s="36" t="inlineStr"/>
    </row>
    <row r="15" ht="15" customHeight="1" s="19">
      <c r="A15" s="36" t="inlineStr">
        <is>
          <t>Named in the architecture as the single most likely source of "the same Ledger produced different state".</t>
        </is>
      </c>
      <c r="B15" s="36" t="inlineStr"/>
      <c r="C15" s="36" t="inlineStr"/>
      <c r="D15" s="36" t="inlineStr"/>
      <c r="E15" s="36" t="inlineStr"/>
    </row>
    <row r="16" ht="15" customHeight="1" s="19">
      <c r="A16" s="37" t="n"/>
      <c r="B16" s="37" t="n"/>
      <c r="C16" s="37" t="n"/>
      <c r="D16" s="37" t="n"/>
      <c r="E16" s="37" t="n"/>
    </row>
    <row r="17" ht="15" customHeight="1" s="19">
      <c r="A17" s="37" t="n"/>
      <c r="B17" s="37" t="n"/>
      <c r="C17" s="37" t="n"/>
      <c r="D17" s="37" t="n"/>
      <c r="E17" s="37" t="n"/>
    </row>
    <row r="18" ht="15" customHeight="1" s="19">
      <c r="A18" s="37" t="n"/>
      <c r="B18" s="37" t="n"/>
      <c r="C18" s="37" t="n"/>
      <c r="D18" s="37" t="n"/>
      <c r="E18" s="37" t="n"/>
    </row>
    <row r="19" ht="15" customHeight="1" s="19">
      <c r="A19" s="37" t="n"/>
      <c r="B19" s="37" t="n"/>
      <c r="C19" s="37" t="n"/>
      <c r="D19" s="37" t="n"/>
      <c r="E19" s="37" t="n"/>
    </row>
    <row r="20" ht="15" customHeight="1" s="19">
      <c r="A20" s="37" t="n"/>
      <c r="B20" s="37" t="n"/>
      <c r="C20" s="37" t="n"/>
      <c r="D20" s="37" t="n"/>
      <c r="E20" s="37" t="n"/>
    </row>
    <row r="21" ht="15" customHeight="1" s="19">
      <c r="A21" s="37" t="n"/>
      <c r="B21" s="37" t="n"/>
      <c r="C21" s="37" t="n"/>
      <c r="D21" s="37" t="n"/>
      <c r="E21" s="37" t="n"/>
    </row>
    <row r="22" ht="15" customHeight="1" s="19">
      <c r="A22" s="37" t="n"/>
      <c r="B22" s="37" t="n"/>
      <c r="C22" s="37" t="n"/>
      <c r="D22" s="37" t="n"/>
      <c r="E22" s="37" t="n"/>
    </row>
    <row r="23" ht="15" customHeight="1" s="19">
      <c r="A23" s="37" t="n"/>
      <c r="B23" s="37" t="n"/>
      <c r="C23" s="37" t="n"/>
      <c r="D23" s="37" t="n"/>
      <c r="E23" s="37" t="n"/>
    </row>
    <row r="24" ht="15" customHeight="1" s="19">
      <c r="A24" s="37" t="n"/>
      <c r="B24" s="37" t="n"/>
      <c r="C24" s="37" t="n"/>
      <c r="D24" s="37" t="n"/>
      <c r="E24" s="37" t="n"/>
    </row>
    <row r="25" ht="15" customHeight="1" s="19">
      <c r="A25" s="37" t="n"/>
      <c r="B25" s="37" t="n"/>
      <c r="C25" s="37" t="n"/>
      <c r="D25" s="37" t="n"/>
      <c r="E25" s="37" t="n"/>
    </row>
    <row r="26" ht="15" customHeight="1" s="19">
      <c r="A26" s="37" t="n"/>
      <c r="B26" s="37" t="n"/>
      <c r="C26" s="37" t="n"/>
      <c r="D26" s="37" t="n"/>
      <c r="E26" s="37" t="n"/>
    </row>
    <row r="27" ht="15" customHeight="1" s="19">
      <c r="A27" s="37" t="n"/>
      <c r="B27" s="37" t="n"/>
      <c r="C27" s="37" t="n"/>
      <c r="D27" s="37" t="n"/>
      <c r="E27" s="37" t="n"/>
    </row>
    <row r="28" ht="15" customHeight="1" s="19">
      <c r="A28" s="37" t="n"/>
      <c r="B28" s="37" t="n"/>
      <c r="C28" s="37" t="n"/>
      <c r="D28" s="37" t="n"/>
      <c r="E28" s="37" t="n"/>
    </row>
    <row r="29" ht="15" customHeight="1" s="19">
      <c r="A29" s="37" t="n"/>
      <c r="B29" s="37" t="n"/>
      <c r="C29" s="37" t="n"/>
      <c r="D29" s="37" t="n"/>
      <c r="E29" s="37" t="n"/>
    </row>
    <row r="30" ht="15" customHeight="1" s="19">
      <c r="A30" s="37" t="n"/>
      <c r="B30" s="37" t="n"/>
      <c r="C30" s="37" t="n"/>
      <c r="D30" s="37" t="n"/>
      <c r="E30" s="37" t="n"/>
    </row>
    <row r="31" ht="15" customHeight="1" s="19">
      <c r="A31" s="37" t="n"/>
      <c r="B31" s="37" t="n"/>
      <c r="C31" s="37" t="n"/>
      <c r="D31" s="37" t="n"/>
      <c r="E31" s="37" t="n"/>
    </row>
    <row r="32" ht="15" customHeight="1" s="19">
      <c r="A32" s="37" t="n"/>
      <c r="B32" s="37" t="n"/>
      <c r="C32" s="37" t="n"/>
      <c r="D32" s="37" t="n"/>
      <c r="E32" s="37" t="n"/>
    </row>
    <row r="33" ht="15" customHeight="1" s="19">
      <c r="A33" s="37" t="n"/>
      <c r="B33" s="37" t="n"/>
      <c r="C33" s="37" t="n"/>
      <c r="D33" s="37" t="n"/>
      <c r="E33" s="37" t="n"/>
    </row>
    <row r="34" ht="15" customHeight="1" s="19">
      <c r="A34" s="37" t="n"/>
      <c r="B34" s="37" t="n"/>
      <c r="C34" s="37" t="n"/>
      <c r="D34" s="37" t="n"/>
      <c r="E34" s="37" t="n"/>
    </row>
    <row r="35" ht="15" customHeight="1" s="19">
      <c r="A35" s="37" t="n"/>
      <c r="B35" s="37" t="n"/>
      <c r="C35" s="37" t="n"/>
      <c r="D35" s="37" t="n"/>
      <c r="E35" s="37" t="n"/>
    </row>
    <row r="36" ht="15" customHeight="1" s="19">
      <c r="A36" s="37" t="n"/>
      <c r="B36" s="37" t="n"/>
      <c r="C36" s="37" t="n"/>
      <c r="D36" s="37" t="n"/>
      <c r="E36" s="37" t="n"/>
    </row>
    <row r="37" ht="15" customHeight="1" s="19">
      <c r="A37" s="37" t="n"/>
      <c r="B37" s="37" t="n"/>
      <c r="C37" s="37" t="n"/>
      <c r="D37" s="37" t="n"/>
      <c r="E37" s="37" t="n"/>
    </row>
    <row r="38" ht="15" customHeight="1" s="19">
      <c r="A38" s="37" t="n"/>
      <c r="B38" s="37" t="n"/>
      <c r="C38" s="37" t="n"/>
      <c r="D38" s="37" t="n"/>
      <c r="E38" s="37" t="n"/>
    </row>
    <row r="39" ht="15" customHeight="1" s="19">
      <c r="A39" s="37" t="n"/>
      <c r="B39" s="37" t="n"/>
      <c r="C39" s="37" t="n"/>
      <c r="D39" s="37" t="n"/>
      <c r="E39" s="37" t="n"/>
    </row>
    <row r="40" ht="15" customHeight="1" s="19">
      <c r="A40" s="37" t="n"/>
      <c r="B40" s="37" t="n"/>
      <c r="C40" s="37" t="n"/>
      <c r="D40" s="37" t="n"/>
      <c r="E40" s="37" t="n"/>
    </row>
    <row r="41" ht="15" customHeight="1" s="19">
      <c r="A41" s="37" t="n"/>
      <c r="B41" s="37" t="n"/>
      <c r="C41" s="37" t="n"/>
      <c r="D41" s="37" t="n"/>
      <c r="E41" s="37" t="n"/>
    </row>
    <row r="42" ht="15" customHeight="1" s="19">
      <c r="A42" s="37" t="n"/>
      <c r="B42" s="37" t="n"/>
      <c r="C42" s="37" t="n"/>
      <c r="D42" s="37" t="n"/>
      <c r="E42" s="37" t="n"/>
    </row>
    <row r="43" ht="15" customHeight="1" s="19">
      <c r="A43" s="37" t="n"/>
      <c r="B43" s="37" t="n"/>
      <c r="C43" s="37" t="n"/>
      <c r="D43" s="37" t="n"/>
      <c r="E43" s="37" t="n"/>
    </row>
    <row r="44" ht="15" customHeight="1" s="19">
      <c r="A44" s="37" t="n"/>
      <c r="B44" s="37" t="n"/>
      <c r="C44" s="37" t="n"/>
      <c r="D44" s="37" t="n"/>
      <c r="E44" s="37" t="n"/>
    </row>
    <row r="45" ht="15" customHeight="1" s="19">
      <c r="A45" s="37" t="n"/>
      <c r="B45" s="37" t="n"/>
      <c r="C45" s="37" t="n"/>
      <c r="D45" s="37" t="n"/>
      <c r="E45" s="37" t="n"/>
    </row>
    <row r="46" ht="15" customHeight="1" s="19">
      <c r="A46" s="37" t="n"/>
      <c r="B46" s="37" t="n"/>
      <c r="C46" s="37" t="n"/>
      <c r="D46" s="37" t="n"/>
      <c r="E46" s="37" t="n"/>
    </row>
    <row r="47" ht="15" customHeight="1" s="19">
      <c r="A47" s="37" t="n"/>
      <c r="B47" s="37" t="n"/>
      <c r="C47" s="37" t="n"/>
      <c r="D47" s="37" t="n"/>
      <c r="E47" s="3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47"/>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8" min="1" max="1"/>
    <col width="40" customWidth="1" style="18" min="2" max="2"/>
    <col width="30" customWidth="1" style="18" min="3" max="3"/>
    <col width="24" customWidth="1" style="18" min="4" max="4"/>
    <col width="34" customWidth="1" style="18" min="5" max="5"/>
  </cols>
  <sheetData>
    <row r="1" ht="17.35" customHeight="1" s="19">
      <c r="A1" s="20" t="inlineStr">
        <is>
          <t>L19 · Causal tag vocabulary</t>
        </is>
      </c>
    </row>
    <row r="2" ht="15" customHeight="1" s="19">
      <c r="A2" s="29" t="inlineStr">
        <is>
          <t>PENDING</t>
        </is>
      </c>
    </row>
    <row r="3" ht="30" customHeight="1" s="19">
      <c r="A3" s="21" t="inlineStr">
        <is>
          <t>What a Record is ABOUT, in matchable terms, so the Chronicle can curate. Optional additive field.</t>
        </is>
      </c>
    </row>
    <row r="4" ht="30" customHeight="1" s="19">
      <c r="A4" s="32" t="inlineStr">
        <is>
          <t>Downgraded from blocking — do it when the Chronicle is real.</t>
        </is>
      </c>
    </row>
    <row r="6" ht="15" customHeight="1" s="19">
      <c r="A6" s="33" t="inlineStr">
        <is>
          <t>Tag</t>
        </is>
      </c>
      <c r="B6" s="33" t="inlineStr">
        <is>
          <t>What it marks</t>
        </is>
      </c>
      <c r="C6" s="33" t="inlineStr">
        <is>
          <t>Who sets it</t>
        </is>
      </c>
      <c r="D6" s="33" t="inlineStr">
        <is>
          <t>Example</t>
        </is>
      </c>
      <c r="E6" s="33" t="inlineStr">
        <is>
          <t>Notes</t>
        </is>
      </c>
    </row>
    <row r="7" ht="23.85" customHeight="1" s="19">
      <c r="A7" s="34" t="inlineStr">
        <is>
          <t>betrayal</t>
        </is>
      </c>
      <c r="B7" s="34" t="inlineStr">
        <is>
          <t>A Relationship broken by the party that benefited</t>
        </is>
      </c>
      <c r="C7" s="34" t="inlineStr">
        <is>
          <t>the emitting Component</t>
        </is>
      </c>
      <c r="D7" s="34" t="inlineStr">
        <is>
          <t>A vassal switching sides</t>
        </is>
      </c>
      <c r="E7" s="34" t="inlineStr">
        <is>
          <t>Records before this exists have no tags, permanently</t>
        </is>
      </c>
      <c r="F7" s="35" t="inlineStr">
        <is>
          <t>← example, not data</t>
        </is>
      </c>
    </row>
    <row r="8" ht="15" customHeight="1" s="19">
      <c r="A8" s="37" t="n"/>
      <c r="B8" s="37" t="n"/>
      <c r="C8" s="37" t="n"/>
      <c r="D8" s="37" t="n"/>
      <c r="E8" s="37" t="n"/>
    </row>
    <row r="9" ht="15" customHeight="1" s="19">
      <c r="A9" s="37" t="n"/>
      <c r="B9" s="37" t="n"/>
      <c r="C9" s="37" t="n"/>
      <c r="D9" s="37" t="n"/>
      <c r="E9" s="37" t="n"/>
    </row>
    <row r="10" ht="15" customHeight="1" s="19">
      <c r="A10" s="37" t="n"/>
      <c r="B10" s="37" t="n"/>
      <c r="C10" s="37" t="n"/>
      <c r="D10" s="37" t="n"/>
      <c r="E10" s="37" t="n"/>
    </row>
    <row r="11" ht="15" customHeight="1" s="19">
      <c r="A11" s="37" t="n"/>
      <c r="B11" s="37" t="n"/>
      <c r="C11" s="37" t="n"/>
      <c r="D11" s="37" t="n"/>
      <c r="E11" s="37" t="n"/>
    </row>
    <row r="12" ht="15" customHeight="1" s="19">
      <c r="A12" s="37" t="n"/>
      <c r="B12" s="37" t="n"/>
      <c r="C12" s="37" t="n"/>
      <c r="D12" s="37" t="n"/>
      <c r="E12" s="37" t="n"/>
    </row>
    <row r="13" ht="15" customHeight="1" s="19">
      <c r="A13" s="37" t="n"/>
      <c r="B13" s="37" t="n"/>
      <c r="C13" s="37" t="n"/>
      <c r="D13" s="37" t="n"/>
      <c r="E13" s="37" t="n"/>
    </row>
    <row r="14" ht="15" customHeight="1" s="19">
      <c r="A14" s="37" t="n"/>
      <c r="B14" s="37" t="n"/>
      <c r="C14" s="37" t="n"/>
      <c r="D14" s="37" t="n"/>
      <c r="E14" s="37" t="n"/>
    </row>
    <row r="15" ht="15" customHeight="1" s="19">
      <c r="A15" s="37" t="n"/>
      <c r="B15" s="37" t="n"/>
      <c r="C15" s="37" t="n"/>
      <c r="D15" s="37" t="n"/>
      <c r="E15" s="37" t="n"/>
    </row>
    <row r="16" ht="15" customHeight="1" s="19">
      <c r="A16" s="37" t="n"/>
      <c r="B16" s="37" t="n"/>
      <c r="C16" s="37" t="n"/>
      <c r="D16" s="37" t="n"/>
      <c r="E16" s="37" t="n"/>
    </row>
    <row r="17" ht="15" customHeight="1" s="19">
      <c r="A17" s="37" t="n"/>
      <c r="B17" s="37" t="n"/>
      <c r="C17" s="37" t="n"/>
      <c r="D17" s="37" t="n"/>
      <c r="E17" s="37" t="n"/>
    </row>
    <row r="18" ht="15" customHeight="1" s="19">
      <c r="A18" s="37" t="n"/>
      <c r="B18" s="37" t="n"/>
      <c r="C18" s="37" t="n"/>
      <c r="D18" s="37" t="n"/>
      <c r="E18" s="37" t="n"/>
    </row>
    <row r="19" ht="15" customHeight="1" s="19">
      <c r="A19" s="37" t="n"/>
      <c r="B19" s="37" t="n"/>
      <c r="C19" s="37" t="n"/>
      <c r="D19" s="37" t="n"/>
      <c r="E19" s="37" t="n"/>
    </row>
    <row r="20" ht="15" customHeight="1" s="19">
      <c r="A20" s="37" t="n"/>
      <c r="B20" s="37" t="n"/>
      <c r="C20" s="37" t="n"/>
      <c r="D20" s="37" t="n"/>
      <c r="E20" s="37" t="n"/>
    </row>
    <row r="21" ht="15" customHeight="1" s="19">
      <c r="A21" s="37" t="n"/>
      <c r="B21" s="37" t="n"/>
      <c r="C21" s="37" t="n"/>
      <c r="D21" s="37" t="n"/>
      <c r="E21" s="37" t="n"/>
    </row>
    <row r="22" ht="15" customHeight="1" s="19">
      <c r="A22" s="37" t="n"/>
      <c r="B22" s="37" t="n"/>
      <c r="C22" s="37" t="n"/>
      <c r="D22" s="37" t="n"/>
      <c r="E22" s="37" t="n"/>
    </row>
    <row r="23" ht="15" customHeight="1" s="19">
      <c r="A23" s="37" t="n"/>
      <c r="B23" s="37" t="n"/>
      <c r="C23" s="37" t="n"/>
      <c r="D23" s="37" t="n"/>
      <c r="E23" s="37" t="n"/>
    </row>
    <row r="24" ht="15" customHeight="1" s="19">
      <c r="A24" s="37" t="n"/>
      <c r="B24" s="37" t="n"/>
      <c r="C24" s="37" t="n"/>
      <c r="D24" s="37" t="n"/>
      <c r="E24" s="37" t="n"/>
    </row>
    <row r="25" ht="15" customHeight="1" s="19">
      <c r="A25" s="37" t="n"/>
      <c r="B25" s="37" t="n"/>
      <c r="C25" s="37" t="n"/>
      <c r="D25" s="37" t="n"/>
      <c r="E25" s="37" t="n"/>
    </row>
    <row r="26" ht="15" customHeight="1" s="19">
      <c r="A26" s="37" t="n"/>
      <c r="B26" s="37" t="n"/>
      <c r="C26" s="37" t="n"/>
      <c r="D26" s="37" t="n"/>
      <c r="E26" s="37" t="n"/>
    </row>
    <row r="27" ht="15" customHeight="1" s="19">
      <c r="A27" s="37" t="n"/>
      <c r="B27" s="37" t="n"/>
      <c r="C27" s="37" t="n"/>
      <c r="D27" s="37" t="n"/>
      <c r="E27" s="37" t="n"/>
    </row>
    <row r="28" ht="15" customHeight="1" s="19">
      <c r="A28" s="37" t="n"/>
      <c r="B28" s="37" t="n"/>
      <c r="C28" s="37" t="n"/>
      <c r="D28" s="37" t="n"/>
      <c r="E28" s="37" t="n"/>
    </row>
    <row r="29" ht="15" customHeight="1" s="19">
      <c r="A29" s="37" t="n"/>
      <c r="B29" s="37" t="n"/>
      <c r="C29" s="37" t="n"/>
      <c r="D29" s="37" t="n"/>
      <c r="E29" s="37" t="n"/>
    </row>
    <row r="30" ht="15" customHeight="1" s="19">
      <c r="A30" s="37" t="n"/>
      <c r="B30" s="37" t="n"/>
      <c r="C30" s="37" t="n"/>
      <c r="D30" s="37" t="n"/>
      <c r="E30" s="37" t="n"/>
    </row>
    <row r="31" ht="15" customHeight="1" s="19">
      <c r="A31" s="37" t="n"/>
      <c r="B31" s="37" t="n"/>
      <c r="C31" s="37" t="n"/>
      <c r="D31" s="37" t="n"/>
      <c r="E31" s="37" t="n"/>
    </row>
    <row r="32" ht="15" customHeight="1" s="19">
      <c r="A32" s="37" t="n"/>
      <c r="B32" s="37" t="n"/>
      <c r="C32" s="37" t="n"/>
      <c r="D32" s="37" t="n"/>
      <c r="E32" s="37" t="n"/>
    </row>
    <row r="33" ht="15" customHeight="1" s="19">
      <c r="A33" s="37" t="n"/>
      <c r="B33" s="37" t="n"/>
      <c r="C33" s="37" t="n"/>
      <c r="D33" s="37" t="n"/>
      <c r="E33" s="37" t="n"/>
    </row>
    <row r="34" ht="15" customHeight="1" s="19">
      <c r="A34" s="37" t="n"/>
      <c r="B34" s="37" t="n"/>
      <c r="C34" s="37" t="n"/>
      <c r="D34" s="37" t="n"/>
      <c r="E34" s="37" t="n"/>
    </row>
    <row r="35" ht="15" customHeight="1" s="19">
      <c r="A35" s="37" t="n"/>
      <c r="B35" s="37" t="n"/>
      <c r="C35" s="37" t="n"/>
      <c r="D35" s="37" t="n"/>
      <c r="E35" s="37" t="n"/>
    </row>
    <row r="36" ht="15" customHeight="1" s="19">
      <c r="A36" s="37" t="n"/>
      <c r="B36" s="37" t="n"/>
      <c r="C36" s="37" t="n"/>
      <c r="D36" s="37" t="n"/>
      <c r="E36" s="37" t="n"/>
    </row>
    <row r="37" ht="15" customHeight="1" s="19">
      <c r="A37" s="37" t="n"/>
      <c r="B37" s="37" t="n"/>
      <c r="C37" s="37" t="n"/>
      <c r="D37" s="37" t="n"/>
      <c r="E37" s="37" t="n"/>
    </row>
    <row r="38" ht="15" customHeight="1" s="19">
      <c r="A38" s="37" t="n"/>
      <c r="B38" s="37" t="n"/>
      <c r="C38" s="37" t="n"/>
      <c r="D38" s="37" t="n"/>
      <c r="E38" s="37" t="n"/>
    </row>
    <row r="39" ht="15" customHeight="1" s="19">
      <c r="A39" s="37" t="n"/>
      <c r="B39" s="37" t="n"/>
      <c r="C39" s="37" t="n"/>
      <c r="D39" s="37" t="n"/>
      <c r="E39" s="37" t="n"/>
    </row>
    <row r="40" ht="15" customHeight="1" s="19">
      <c r="A40" s="37" t="n"/>
      <c r="B40" s="37" t="n"/>
      <c r="C40" s="37" t="n"/>
      <c r="D40" s="37" t="n"/>
      <c r="E40" s="37" t="n"/>
    </row>
    <row r="41" ht="15" customHeight="1" s="19">
      <c r="A41" s="37" t="n"/>
      <c r="B41" s="37" t="n"/>
      <c r="C41" s="37" t="n"/>
      <c r="D41" s="37" t="n"/>
      <c r="E41" s="37" t="n"/>
    </row>
    <row r="42" ht="15" customHeight="1" s="19">
      <c r="A42" s="37" t="n"/>
      <c r="B42" s="37" t="n"/>
      <c r="C42" s="37" t="n"/>
      <c r="D42" s="37" t="n"/>
      <c r="E42" s="37" t="n"/>
    </row>
    <row r="43" ht="15" customHeight="1" s="19">
      <c r="A43" s="37" t="n"/>
      <c r="B43" s="37" t="n"/>
      <c r="C43" s="37" t="n"/>
      <c r="D43" s="37" t="n"/>
      <c r="E43" s="37" t="n"/>
    </row>
    <row r="44" ht="15" customHeight="1" s="19">
      <c r="A44" s="37" t="n"/>
      <c r="B44" s="37" t="n"/>
      <c r="C44" s="37" t="n"/>
      <c r="D44" s="37" t="n"/>
      <c r="E44" s="37" t="n"/>
    </row>
    <row r="45" ht="15" customHeight="1" s="19">
      <c r="A45" s="37" t="n"/>
      <c r="B45" s="37" t="n"/>
      <c r="C45" s="37" t="n"/>
      <c r="D45" s="37" t="n"/>
      <c r="E45" s="37" t="n"/>
    </row>
    <row r="46" ht="15" customHeight="1" s="19">
      <c r="A46" s="37" t="n"/>
      <c r="B46" s="37" t="n"/>
      <c r="C46" s="37" t="n"/>
      <c r="D46" s="37" t="n"/>
      <c r="E46" s="37" t="n"/>
    </row>
    <row r="47" ht="15" customHeight="1" s="19">
      <c r="A47" s="37" t="n"/>
      <c r="B47" s="37" t="n"/>
      <c r="C47" s="37" t="n"/>
      <c r="D47" s="37" t="n"/>
      <c r="E47" s="3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47"/>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8" min="1" max="1"/>
    <col width="40" customWidth="1" style="18" min="2" max="2"/>
    <col width="30" customWidth="1" style="18" min="3" max="3"/>
    <col width="24" customWidth="1" style="18" min="4" max="4"/>
    <col width="34" customWidth="1" style="18" min="5" max="5"/>
  </cols>
  <sheetData>
    <row r="1" ht="17.35" customHeight="1" s="19">
      <c r="A1" s="20" t="inlineStr">
        <is>
          <t>L20 · Lens tiers</t>
        </is>
      </c>
    </row>
    <row r="2" ht="15" customHeight="1" s="19">
      <c r="A2" s="29" t="inlineStr">
        <is>
          <t>PENDING</t>
        </is>
      </c>
    </row>
    <row r="3" ht="30" customHeight="1" s="19">
      <c r="A3" s="21" t="inlineStr">
        <is>
          <t>How much mechanical detail a Lens exposes.</t>
        </is>
      </c>
    </row>
    <row r="6" ht="15" customHeight="1" s="19">
      <c r="A6" s="33" t="inlineStr">
        <is>
          <t>Tier</t>
        </is>
      </c>
      <c r="B6" s="33" t="inlineStr">
        <is>
          <t>What it shows</t>
        </is>
      </c>
      <c r="C6" s="33" t="inlineStr">
        <is>
          <t>Dice it declares</t>
        </is>
      </c>
      <c r="D6" s="33" t="inlineStr">
        <is>
          <t>Who it is for</t>
        </is>
      </c>
      <c r="E6" s="33" t="inlineStr">
        <is>
          <t>Notes</t>
        </is>
      </c>
    </row>
    <row r="7" ht="23.85" customHeight="1" s="19">
      <c r="A7" s="34" t="inlineStr">
        <is>
          <t>narrative</t>
        </is>
      </c>
      <c r="B7" s="34" t="inlineStr">
        <is>
          <t>Outcomes as prose only</t>
        </is>
      </c>
      <c r="C7" s="34" t="inlineStr">
        <is>
          <t>none visible</t>
        </is>
      </c>
      <c r="D7" s="34" t="inlineStr">
        <is>
          <t>Someone who wants no numbers</t>
        </is>
      </c>
      <c r="E7" s="34" t="inlineStr">
        <is>
          <t>Must still be Calibrated to the same magnitude distribution</t>
        </is>
      </c>
      <c r="F7" s="35" t="inlineStr">
        <is>
          <t>← example, not data</t>
        </is>
      </c>
    </row>
    <row r="8" ht="15" customHeight="1" s="19">
      <c r="A8" s="37" t="n"/>
      <c r="B8" s="37" t="n"/>
      <c r="C8" s="37" t="n"/>
      <c r="D8" s="37" t="n"/>
      <c r="E8" s="37" t="n"/>
    </row>
    <row r="9" ht="15" customHeight="1" s="19">
      <c r="A9" s="37" t="n"/>
      <c r="B9" s="37" t="n"/>
      <c r="C9" s="37" t="n"/>
      <c r="D9" s="37" t="n"/>
      <c r="E9" s="37" t="n"/>
    </row>
    <row r="10" ht="15" customHeight="1" s="19">
      <c r="A10" s="37" t="n"/>
      <c r="B10" s="37" t="n"/>
      <c r="C10" s="37" t="n"/>
      <c r="D10" s="37" t="n"/>
      <c r="E10" s="37" t="n"/>
    </row>
    <row r="11" ht="15" customHeight="1" s="19">
      <c r="A11" s="37" t="n"/>
      <c r="B11" s="37" t="n"/>
      <c r="C11" s="37" t="n"/>
      <c r="D11" s="37" t="n"/>
      <c r="E11" s="37" t="n"/>
    </row>
    <row r="12" ht="15" customHeight="1" s="19">
      <c r="A12" s="37" t="n"/>
      <c r="B12" s="37" t="n"/>
      <c r="C12" s="37" t="n"/>
      <c r="D12" s="37" t="n"/>
      <c r="E12" s="37" t="n"/>
    </row>
    <row r="13" ht="15" customHeight="1" s="19">
      <c r="A13" s="37" t="n"/>
      <c r="B13" s="37" t="n"/>
      <c r="C13" s="37" t="n"/>
      <c r="D13" s="37" t="n"/>
      <c r="E13" s="37" t="n"/>
    </row>
    <row r="14" ht="15" customHeight="1" s="19">
      <c r="A14" s="37" t="n"/>
      <c r="B14" s="37" t="n"/>
      <c r="C14" s="37" t="n"/>
      <c r="D14" s="37" t="n"/>
      <c r="E14" s="37" t="n"/>
    </row>
    <row r="15" ht="15" customHeight="1" s="19">
      <c r="A15" s="37" t="n"/>
      <c r="B15" s="37" t="n"/>
      <c r="C15" s="37" t="n"/>
      <c r="D15" s="37" t="n"/>
      <c r="E15" s="37" t="n"/>
    </row>
    <row r="16" ht="15" customHeight="1" s="19">
      <c r="A16" s="37" t="n"/>
      <c r="B16" s="37" t="n"/>
      <c r="C16" s="37" t="n"/>
      <c r="D16" s="37" t="n"/>
      <c r="E16" s="37" t="n"/>
    </row>
    <row r="17" ht="15" customHeight="1" s="19">
      <c r="A17" s="37" t="n"/>
      <c r="B17" s="37" t="n"/>
      <c r="C17" s="37" t="n"/>
      <c r="D17" s="37" t="n"/>
      <c r="E17" s="37" t="n"/>
    </row>
    <row r="18" ht="15" customHeight="1" s="19">
      <c r="A18" s="37" t="n"/>
      <c r="B18" s="37" t="n"/>
      <c r="C18" s="37" t="n"/>
      <c r="D18" s="37" t="n"/>
      <c r="E18" s="37" t="n"/>
    </row>
    <row r="19" ht="15" customHeight="1" s="19">
      <c r="A19" s="37" t="n"/>
      <c r="B19" s="37" t="n"/>
      <c r="C19" s="37" t="n"/>
      <c r="D19" s="37" t="n"/>
      <c r="E19" s="37" t="n"/>
    </row>
    <row r="20" ht="15" customHeight="1" s="19">
      <c r="A20" s="37" t="n"/>
      <c r="B20" s="37" t="n"/>
      <c r="C20" s="37" t="n"/>
      <c r="D20" s="37" t="n"/>
      <c r="E20" s="37" t="n"/>
    </row>
    <row r="21" ht="15" customHeight="1" s="19">
      <c r="A21" s="37" t="n"/>
      <c r="B21" s="37" t="n"/>
      <c r="C21" s="37" t="n"/>
      <c r="D21" s="37" t="n"/>
      <c r="E21" s="37" t="n"/>
    </row>
    <row r="22" ht="15" customHeight="1" s="19">
      <c r="A22" s="37" t="n"/>
      <c r="B22" s="37" t="n"/>
      <c r="C22" s="37" t="n"/>
      <c r="D22" s="37" t="n"/>
      <c r="E22" s="37" t="n"/>
    </row>
    <row r="23" ht="15" customHeight="1" s="19">
      <c r="A23" s="37" t="n"/>
      <c r="B23" s="37" t="n"/>
      <c r="C23" s="37" t="n"/>
      <c r="D23" s="37" t="n"/>
      <c r="E23" s="37" t="n"/>
    </row>
    <row r="24" ht="15" customHeight="1" s="19">
      <c r="A24" s="37" t="n"/>
      <c r="B24" s="37" t="n"/>
      <c r="C24" s="37" t="n"/>
      <c r="D24" s="37" t="n"/>
      <c r="E24" s="37" t="n"/>
    </row>
    <row r="25" ht="15" customHeight="1" s="19">
      <c r="A25" s="37" t="n"/>
      <c r="B25" s="37" t="n"/>
      <c r="C25" s="37" t="n"/>
      <c r="D25" s="37" t="n"/>
      <c r="E25" s="37" t="n"/>
    </row>
    <row r="26" ht="15" customHeight="1" s="19">
      <c r="A26" s="37" t="n"/>
      <c r="B26" s="37" t="n"/>
      <c r="C26" s="37" t="n"/>
      <c r="D26" s="37" t="n"/>
      <c r="E26" s="37" t="n"/>
    </row>
    <row r="27" ht="15" customHeight="1" s="19">
      <c r="A27" s="37" t="n"/>
      <c r="B27" s="37" t="n"/>
      <c r="C27" s="37" t="n"/>
      <c r="D27" s="37" t="n"/>
      <c r="E27" s="37" t="n"/>
    </row>
    <row r="28" ht="15" customHeight="1" s="19">
      <c r="A28" s="37" t="n"/>
      <c r="B28" s="37" t="n"/>
      <c r="C28" s="37" t="n"/>
      <c r="D28" s="37" t="n"/>
      <c r="E28" s="37" t="n"/>
    </row>
    <row r="29" ht="15" customHeight="1" s="19">
      <c r="A29" s="37" t="n"/>
      <c r="B29" s="37" t="n"/>
      <c r="C29" s="37" t="n"/>
      <c r="D29" s="37" t="n"/>
      <c r="E29" s="37" t="n"/>
    </row>
    <row r="30" ht="15" customHeight="1" s="19">
      <c r="A30" s="37" t="n"/>
      <c r="B30" s="37" t="n"/>
      <c r="C30" s="37" t="n"/>
      <c r="D30" s="37" t="n"/>
      <c r="E30" s="37" t="n"/>
    </row>
    <row r="31" ht="15" customHeight="1" s="19">
      <c r="A31" s="37" t="n"/>
      <c r="B31" s="37" t="n"/>
      <c r="C31" s="37" t="n"/>
      <c r="D31" s="37" t="n"/>
      <c r="E31" s="37" t="n"/>
    </row>
    <row r="32" ht="15" customHeight="1" s="19">
      <c r="A32" s="37" t="n"/>
      <c r="B32" s="37" t="n"/>
      <c r="C32" s="37" t="n"/>
      <c r="D32" s="37" t="n"/>
      <c r="E32" s="37" t="n"/>
    </row>
    <row r="33" ht="15" customHeight="1" s="19">
      <c r="A33" s="37" t="n"/>
      <c r="B33" s="37" t="n"/>
      <c r="C33" s="37" t="n"/>
      <c r="D33" s="37" t="n"/>
      <c r="E33" s="37" t="n"/>
    </row>
    <row r="34" ht="15" customHeight="1" s="19">
      <c r="A34" s="37" t="n"/>
      <c r="B34" s="37" t="n"/>
      <c r="C34" s="37" t="n"/>
      <c r="D34" s="37" t="n"/>
      <c r="E34" s="37" t="n"/>
    </row>
    <row r="35" ht="15" customHeight="1" s="19">
      <c r="A35" s="37" t="n"/>
      <c r="B35" s="37" t="n"/>
      <c r="C35" s="37" t="n"/>
      <c r="D35" s="37" t="n"/>
      <c r="E35" s="37" t="n"/>
    </row>
    <row r="36" ht="15" customHeight="1" s="19">
      <c r="A36" s="37" t="n"/>
      <c r="B36" s="37" t="n"/>
      <c r="C36" s="37" t="n"/>
      <c r="D36" s="37" t="n"/>
      <c r="E36" s="37" t="n"/>
    </row>
    <row r="37" ht="15" customHeight="1" s="19">
      <c r="A37" s="37" t="n"/>
      <c r="B37" s="37" t="n"/>
      <c r="C37" s="37" t="n"/>
      <c r="D37" s="37" t="n"/>
      <c r="E37" s="37" t="n"/>
    </row>
    <row r="38" ht="15" customHeight="1" s="19">
      <c r="A38" s="37" t="n"/>
      <c r="B38" s="37" t="n"/>
      <c r="C38" s="37" t="n"/>
      <c r="D38" s="37" t="n"/>
      <c r="E38" s="37" t="n"/>
    </row>
    <row r="39" ht="15" customHeight="1" s="19">
      <c r="A39" s="37" t="n"/>
      <c r="B39" s="37" t="n"/>
      <c r="C39" s="37" t="n"/>
      <c r="D39" s="37" t="n"/>
      <c r="E39" s="37" t="n"/>
    </row>
    <row r="40" ht="15" customHeight="1" s="19">
      <c r="A40" s="37" t="n"/>
      <c r="B40" s="37" t="n"/>
      <c r="C40" s="37" t="n"/>
      <c r="D40" s="37" t="n"/>
      <c r="E40" s="37" t="n"/>
    </row>
    <row r="41" ht="15" customHeight="1" s="19">
      <c r="A41" s="37" t="n"/>
      <c r="B41" s="37" t="n"/>
      <c r="C41" s="37" t="n"/>
      <c r="D41" s="37" t="n"/>
      <c r="E41" s="37" t="n"/>
    </row>
    <row r="42" ht="15" customHeight="1" s="19">
      <c r="A42" s="37" t="n"/>
      <c r="B42" s="37" t="n"/>
      <c r="C42" s="37" t="n"/>
      <c r="D42" s="37" t="n"/>
      <c r="E42" s="37" t="n"/>
    </row>
    <row r="43" ht="15" customHeight="1" s="19">
      <c r="A43" s="37" t="n"/>
      <c r="B43" s="37" t="n"/>
      <c r="C43" s="37" t="n"/>
      <c r="D43" s="37" t="n"/>
      <c r="E43" s="37" t="n"/>
    </row>
    <row r="44" ht="15" customHeight="1" s="19">
      <c r="A44" s="37" t="n"/>
      <c r="B44" s="37" t="n"/>
      <c r="C44" s="37" t="n"/>
      <c r="D44" s="37" t="n"/>
      <c r="E44" s="37" t="n"/>
    </row>
    <row r="45" ht="15" customHeight="1" s="19">
      <c r="A45" s="37" t="n"/>
      <c r="B45" s="37" t="n"/>
      <c r="C45" s="37" t="n"/>
      <c r="D45" s="37" t="n"/>
      <c r="E45" s="37" t="n"/>
    </row>
    <row r="46" ht="15" customHeight="1" s="19">
      <c r="A46" s="37" t="n"/>
      <c r="B46" s="37" t="n"/>
      <c r="C46" s="37" t="n"/>
      <c r="D46" s="37" t="n"/>
      <c r="E46" s="37" t="n"/>
    </row>
    <row r="47" ht="15" customHeight="1" s="19">
      <c r="A47" s="37" t="n"/>
      <c r="B47" s="37" t="n"/>
      <c r="C47" s="37" t="n"/>
      <c r="D47" s="37" t="n"/>
      <c r="E47" s="3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47"/>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8" min="1" max="1"/>
    <col width="40" customWidth="1" style="18" min="2" max="2"/>
    <col width="30" customWidth="1" style="18" min="3" max="3"/>
    <col width="24" customWidth="1" style="18" min="4" max="4"/>
    <col width="34" customWidth="1" style="18" min="5" max="5"/>
  </cols>
  <sheetData>
    <row r="1" ht="17.35" customHeight="1" s="19">
      <c r="A1" s="20" t="inlineStr">
        <is>
          <t>L21 · Dimension Spaces</t>
        </is>
      </c>
    </row>
    <row r="2" ht="15" customHeight="1" s="19">
      <c r="A2" s="28" t="inlineStr">
        <is>
          <t>SETTLED — August 2026</t>
        </is>
      </c>
    </row>
    <row r="3" ht="30" customHeight="1" s="19">
      <c r="A3" s="21" t="inlineStr">
        <is>
          <t>The named sets of Dimensions. Packets in different Spaces NEVER interact — this is the main thing keeping the system comprehensible as it grows.</t>
        </is>
      </c>
    </row>
    <row r="4" ht="30" customHeight="1" s="19">
      <c r="A4" s="32" t="inlineStr">
        <is>
          <t>Do this before L22 and L22 before L23. The attempt Space's Dimensions ARE the Capacities (L29).</t>
        </is>
      </c>
    </row>
    <row r="6" ht="15" customHeight="1" s="19">
      <c r="A6" s="33" t="inlineStr">
        <is>
          <t>Space</t>
        </is>
      </c>
      <c r="B6" s="33" t="inlineStr">
        <is>
          <t>What it governs</t>
        </is>
      </c>
      <c r="C6" s="33" t="inlineStr">
        <is>
          <t>Dimensions in it (L22)</t>
        </is>
      </c>
      <c r="D6" s="33" t="inlineStr">
        <is>
          <t>Interacts with</t>
        </is>
      </c>
      <c r="E6" s="33" t="inlineStr">
        <is>
          <t>Notes</t>
        </is>
      </c>
    </row>
    <row r="7" ht="23.85" customHeight="1" s="19">
      <c r="A7" s="34" t="inlineStr">
        <is>
          <t>physical</t>
        </is>
      </c>
      <c r="B7" s="34" t="inlineStr">
        <is>
          <t>Bodily harm and force</t>
        </is>
      </c>
      <c r="C7" s="34" t="inlineStr">
        <is>
          <t>thermal, kinetic, vital</t>
        </is>
      </c>
      <c r="D7" s="34" t="inlineStr">
        <is>
          <t>nothing</t>
        </is>
      </c>
      <c r="E7" s="34" t="inlineStr">
        <is>
          <t>Two Packets in different Spaces never interact at all</t>
        </is>
      </c>
      <c r="F7" s="35" t="inlineStr">
        <is>
          <t>← example, not data</t>
        </is>
      </c>
    </row>
    <row r="8" ht="15" customHeight="1" s="19">
      <c r="A8" s="41" t="inlineStr">
        <is>
          <t>physical</t>
        </is>
      </c>
      <c r="B8" s="41" t="inlineStr">
        <is>
          <t>Bodies and matter</t>
        </is>
      </c>
      <c r="C8" s="41" t="inlineStr">
        <is>
          <t>thermal, kinetic, vital, corrosive, vigor?</t>
        </is>
      </c>
      <c r="D8" s="41" t="inlineStr">
        <is>
          <t>nothing</t>
        </is>
      </c>
      <c r="E8" s="41" t="inlineStr">
        <is>
          <t>SETTLED</t>
        </is>
      </c>
    </row>
    <row r="9" ht="15" customHeight="1" s="19">
      <c r="A9" s="41" t="inlineStr">
        <is>
          <t>mental</t>
        </is>
      </c>
      <c r="B9" s="41" t="inlineStr">
        <is>
          <t>The inside of one mind</t>
        </is>
      </c>
      <c r="C9" s="41" t="inlineStr">
        <is>
          <t>composure, clarity, will?</t>
        </is>
      </c>
      <c r="D9" s="41" t="inlineStr">
        <is>
          <t>nothing</t>
        </is>
      </c>
      <c r="E9" s="41" t="inlineStr">
        <is>
          <t>SETTLED. Psychic harm is what forced this Space to exist</t>
        </is>
      </c>
    </row>
    <row r="10" ht="15" customHeight="1" s="19">
      <c r="A10" s="41" t="inlineStr">
        <is>
          <t>social</t>
        </is>
      </c>
      <c r="B10" s="41" t="inlineStr">
        <is>
          <t>The space BETWEEN minds — standing, trust, obligation</t>
        </is>
      </c>
      <c r="C10" s="41" t="inlineStr">
        <is>
          <t>regard, standing?</t>
        </is>
      </c>
      <c r="D10" s="41" t="inlineStr">
        <is>
          <t>nothing</t>
        </is>
      </c>
      <c r="E10" s="41" t="inlineStr">
        <is>
          <t>SETTLED. resolve moved to mental, which left this clean</t>
        </is>
      </c>
    </row>
    <row r="11" ht="15" customHeight="1" s="19">
      <c r="A11" s="41" t="inlineStr">
        <is>
          <t>mystic</t>
        </is>
      </c>
      <c r="B11" s="41" t="inlineStr">
        <is>
          <t>Workings and what unmakes them — magic, ki, mana, cultivation, divinity</t>
        </is>
      </c>
      <c r="C11" s="41" t="inlineStr">
        <is>
          <t>working?, essence?</t>
        </is>
      </c>
      <c r="D11" s="41" t="inlineStr">
        <is>
          <t>nothing</t>
        </is>
      </c>
      <c r="E11" s="41" t="inlineStr">
        <is>
          <t>SETTLED. COUNTERSPELLING is what forced this Space to exist. A working's EFFECTS live in whatever Space they change; the working's own existence lives here</t>
        </is>
      </c>
    </row>
    <row r="12" ht="15" customHeight="1" s="19">
      <c r="A12" s="41" t="inlineStr">
        <is>
          <t>attempt</t>
        </is>
      </c>
      <c r="B12" s="41" t="inlineStr">
        <is>
          <t>How well someone did at something</t>
        </is>
      </c>
      <c r="C12" s="41" t="inlineStr">
        <is>
          <t>7 Domains, 15 Dimensions — see L29</t>
        </is>
      </c>
      <c r="D12" s="41" t="inlineStr">
        <is>
          <t>nothing</t>
        </is>
      </c>
      <c r="E12" s="41" t="inlineStr">
        <is>
          <t>SETTLED</t>
        </is>
      </c>
    </row>
    <row r="13" ht="15" customHeight="1" s="19">
      <c r="A13" s="41" t="inlineStr">
        <is>
          <t>RULE: a vector's Space is decided by WHAT IT CHANGES, not what caused it.</t>
        </is>
      </c>
      <c r="B13" s="41" t="inlineStr"/>
      <c r="C13" s="41" t="inlineStr"/>
      <c r="D13" s="41" t="inlineStr"/>
      <c r="E13" s="41" t="inlineStr"/>
    </row>
    <row r="14" ht="15" customHeight="1" s="19">
      <c r="A14" s="41" t="inlineStr">
        <is>
          <t>RULE: a Space limits a VECTOR, never an ABILITY. One ability places as many vectors as it needs.</t>
        </is>
      </c>
      <c r="B14" s="41" t="inlineStr"/>
      <c r="C14" s="41" t="inlineStr"/>
      <c r="D14" s="41" t="inlineStr"/>
      <c r="E14" s="41" t="inlineStr"/>
    </row>
    <row r="15" ht="15" customHeight="1" s="19">
      <c r="A15" s="41" t="inlineStr">
        <is>
          <t>Adding a Space later is free. Splitting or merging existing ones is an Edition break.</t>
        </is>
      </c>
      <c r="B15" s="41" t="inlineStr"/>
      <c r="C15" s="41" t="inlineStr"/>
      <c r="D15" s="41" t="inlineStr"/>
      <c r="E15" s="41" t="inlineStr"/>
    </row>
    <row r="16" ht="15" customHeight="1" s="19">
      <c r="A16" s="41" t="inlineStr"/>
      <c r="B16" s="41" t="inlineStr"/>
      <c r="C16" s="41" t="inlineStr"/>
      <c r="D16" s="41" t="inlineStr"/>
      <c r="E16" s="41" t="inlineStr"/>
    </row>
    <row r="17" ht="15" customHeight="1" s="19">
      <c r="A17" s="41" t="inlineStr">
        <is>
          <t>CONSIDERED AND REJECTED</t>
        </is>
      </c>
      <c r="B17" s="41" t="inlineStr"/>
      <c r="C17" s="41" t="inlineStr"/>
      <c r="D17" s="41" t="inlineStr"/>
      <c r="E17" s="41" t="inlineStr"/>
    </row>
    <row r="18" ht="15" customHeight="1" s="19">
      <c r="A18" s="41" t="inlineStr">
        <is>
          <t>wealth</t>
        </is>
      </c>
      <c r="B18" s="41" t="inlineStr">
        <is>
          <t>Money as its own Space</t>
        </is>
      </c>
      <c r="C18" s="41" t="inlineStr"/>
      <c r="D18" s="41" t="inlineStr"/>
      <c r="E18" s="41" t="inlineStr">
        <is>
          <t>REJECTED: money is a Resource, not a direction. A bribe is a social vector paid for with a Resource</t>
        </is>
      </c>
    </row>
    <row r="19" ht="15" customHeight="1" s="19">
      <c r="A19" s="41" t="inlineStr">
        <is>
          <t>knowledge</t>
        </is>
      </c>
      <c r="B19" s="41" t="inlineStr">
        <is>
          <t>Information as its own Space</t>
        </is>
      </c>
      <c r="C19" s="41" t="inlineStr"/>
      <c r="D19" s="41" t="inlineStr"/>
      <c r="E19" s="41" t="inlineStr">
        <is>
          <t>REJECTED: a Tag or an Almanac entry. Not a push, and it does not cancel</t>
        </is>
      </c>
    </row>
    <row r="20" ht="15" customHeight="1" s="19">
      <c r="A20" s="41" t="inlineStr">
        <is>
          <t>a separate spirit / divine Space</t>
        </is>
      </c>
      <c r="B20" s="41" t="inlineStr">
        <is>
          <t>Souls, gods, the beyond</t>
        </is>
      </c>
      <c r="C20" s="41" t="inlineStr"/>
      <c r="D20" s="41" t="inlineStr"/>
      <c r="E20" s="41" t="inlineStr">
        <is>
          <t>FOLDED INTO MYSTIC. Two Spaces would mean a miracle and a spell could never meet. One Space with Component-supplied Channels lets them.</t>
        </is>
      </c>
    </row>
    <row r="21" ht="15" customHeight="1" s="19">
      <c r="A21" s="37" t="n"/>
      <c r="B21" s="37" t="n"/>
      <c r="C21" s="37" t="n"/>
      <c r="D21" s="37" t="n"/>
      <c r="E21" s="37" t="n"/>
    </row>
    <row r="22" ht="15" customHeight="1" s="19">
      <c r="A22" s="37" t="n"/>
      <c r="B22" s="37" t="n"/>
      <c r="C22" s="37" t="n"/>
      <c r="D22" s="37" t="n"/>
      <c r="E22" s="37" t="n"/>
    </row>
    <row r="23" ht="15" customHeight="1" s="19">
      <c r="A23" s="37" t="n"/>
      <c r="B23" s="37" t="n"/>
      <c r="C23" s="37" t="n"/>
      <c r="D23" s="37" t="n"/>
      <c r="E23" s="37" t="n"/>
    </row>
    <row r="24" ht="15" customHeight="1" s="19">
      <c r="A24" s="37" t="n"/>
      <c r="B24" s="37" t="n"/>
      <c r="C24" s="37" t="n"/>
      <c r="D24" s="37" t="n"/>
      <c r="E24" s="37" t="n"/>
    </row>
    <row r="25" ht="15" customHeight="1" s="19">
      <c r="A25" s="37" t="n"/>
      <c r="B25" s="37" t="n"/>
      <c r="C25" s="37" t="n"/>
      <c r="D25" s="37" t="n"/>
      <c r="E25" s="37" t="n"/>
    </row>
    <row r="26" ht="15" customHeight="1" s="19">
      <c r="A26" s="37" t="n"/>
      <c r="B26" s="37" t="n"/>
      <c r="C26" s="37" t="n"/>
      <c r="D26" s="37" t="n"/>
      <c r="E26" s="37" t="n"/>
    </row>
    <row r="27" ht="15" customHeight="1" s="19">
      <c r="A27" s="37" t="n"/>
      <c r="B27" s="37" t="n"/>
      <c r="C27" s="37" t="n"/>
      <c r="D27" s="37" t="n"/>
      <c r="E27" s="37" t="n"/>
    </row>
    <row r="28" ht="15" customHeight="1" s="19">
      <c r="A28" s="37" t="n"/>
      <c r="B28" s="37" t="n"/>
      <c r="C28" s="37" t="n"/>
      <c r="D28" s="37" t="n"/>
      <c r="E28" s="37" t="n"/>
    </row>
    <row r="29" ht="15" customHeight="1" s="19">
      <c r="A29" s="37" t="n"/>
      <c r="B29" s="37" t="n"/>
      <c r="C29" s="37" t="n"/>
      <c r="D29" s="37" t="n"/>
      <c r="E29" s="37" t="n"/>
    </row>
    <row r="30" ht="15" customHeight="1" s="19">
      <c r="A30" s="37" t="n"/>
      <c r="B30" s="37" t="n"/>
      <c r="C30" s="37" t="n"/>
      <c r="D30" s="37" t="n"/>
      <c r="E30" s="37" t="n"/>
    </row>
    <row r="31" ht="15" customHeight="1" s="19">
      <c r="A31" s="37" t="n"/>
      <c r="B31" s="37" t="n"/>
      <c r="C31" s="37" t="n"/>
      <c r="D31" s="37" t="n"/>
      <c r="E31" s="37" t="n"/>
    </row>
    <row r="32" ht="15" customHeight="1" s="19">
      <c r="A32" s="37" t="n"/>
      <c r="B32" s="37" t="n"/>
      <c r="C32" s="37" t="n"/>
      <c r="D32" s="37" t="n"/>
      <c r="E32" s="37" t="n"/>
    </row>
    <row r="33" ht="15" customHeight="1" s="19">
      <c r="A33" s="37" t="n"/>
      <c r="B33" s="37" t="n"/>
      <c r="C33" s="37" t="n"/>
      <c r="D33" s="37" t="n"/>
      <c r="E33" s="37" t="n"/>
    </row>
    <row r="34" ht="15" customHeight="1" s="19">
      <c r="A34" s="37" t="n"/>
      <c r="B34" s="37" t="n"/>
      <c r="C34" s="37" t="n"/>
      <c r="D34" s="37" t="n"/>
      <c r="E34" s="37" t="n"/>
    </row>
    <row r="35" ht="15" customHeight="1" s="19">
      <c r="A35" s="37" t="n"/>
      <c r="B35" s="37" t="n"/>
      <c r="C35" s="37" t="n"/>
      <c r="D35" s="37" t="n"/>
      <c r="E35" s="37" t="n"/>
    </row>
    <row r="36" ht="15" customHeight="1" s="19">
      <c r="A36" s="37" t="n"/>
      <c r="B36" s="37" t="n"/>
      <c r="C36" s="37" t="n"/>
      <c r="D36" s="37" t="n"/>
      <c r="E36" s="37" t="n"/>
    </row>
    <row r="37" ht="15" customHeight="1" s="19">
      <c r="A37" s="37" t="n"/>
      <c r="B37" s="37" t="n"/>
      <c r="C37" s="37" t="n"/>
      <c r="D37" s="37" t="n"/>
      <c r="E37" s="37" t="n"/>
    </row>
    <row r="38" ht="15" customHeight="1" s="19">
      <c r="A38" s="37" t="n"/>
      <c r="B38" s="37" t="n"/>
      <c r="C38" s="37" t="n"/>
      <c r="D38" s="37" t="n"/>
      <c r="E38" s="37" t="n"/>
    </row>
    <row r="39" ht="15" customHeight="1" s="19">
      <c r="A39" s="37" t="n"/>
      <c r="B39" s="37" t="n"/>
      <c r="C39" s="37" t="n"/>
      <c r="D39" s="37" t="n"/>
      <c r="E39" s="37" t="n"/>
    </row>
    <row r="40" ht="15" customHeight="1" s="19">
      <c r="A40" s="37" t="n"/>
      <c r="B40" s="37" t="n"/>
      <c r="C40" s="37" t="n"/>
      <c r="D40" s="37" t="n"/>
      <c r="E40" s="37" t="n"/>
    </row>
    <row r="41" ht="15" customHeight="1" s="19">
      <c r="A41" s="37" t="n"/>
      <c r="B41" s="37" t="n"/>
      <c r="C41" s="37" t="n"/>
      <c r="D41" s="37" t="n"/>
      <c r="E41" s="37" t="n"/>
    </row>
    <row r="42" ht="15" customHeight="1" s="19">
      <c r="A42" s="37" t="n"/>
      <c r="B42" s="37" t="n"/>
      <c r="C42" s="37" t="n"/>
      <c r="D42" s="37" t="n"/>
      <c r="E42" s="37" t="n"/>
    </row>
    <row r="43" ht="15" customHeight="1" s="19">
      <c r="A43" s="37" t="n"/>
      <c r="B43" s="37" t="n"/>
      <c r="C43" s="37" t="n"/>
      <c r="D43" s="37" t="n"/>
      <c r="E43" s="37" t="n"/>
    </row>
    <row r="44" ht="15" customHeight="1" s="19">
      <c r="A44" s="37" t="n"/>
      <c r="B44" s="37" t="n"/>
      <c r="C44" s="37" t="n"/>
      <c r="D44" s="37" t="n"/>
      <c r="E44" s="37" t="n"/>
    </row>
    <row r="45" ht="15" customHeight="1" s="19">
      <c r="A45" s="37" t="n"/>
      <c r="B45" s="37" t="n"/>
      <c r="C45" s="37" t="n"/>
      <c r="D45" s="37" t="n"/>
      <c r="E45" s="37" t="n"/>
    </row>
    <row r="46" ht="15" customHeight="1" s="19">
      <c r="A46" s="37" t="n"/>
      <c r="B46" s="37" t="n"/>
      <c r="C46" s="37" t="n"/>
      <c r="D46" s="37" t="n"/>
      <c r="E46" s="37" t="n"/>
    </row>
    <row r="47" ht="15" customHeight="1" s="19">
      <c r="A47" s="37" t="n"/>
      <c r="B47" s="37" t="n"/>
      <c r="C47" s="37" t="n"/>
      <c r="D47" s="37" t="n"/>
      <c r="E47" s="3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F47"/>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8" min="1" max="1"/>
    <col width="20" customWidth="1" style="18" min="2" max="2"/>
    <col width="30" customWidth="1" style="18" min="3" max="3"/>
    <col width="30" customWidth="1" style="18" min="4" max="4"/>
    <col width="60" customWidth="1" style="18" min="5" max="5"/>
  </cols>
  <sheetData>
    <row r="1" ht="17.35" customHeight="1" s="19">
      <c r="A1" s="20" t="inlineStr">
        <is>
          <t>L22 · Dimensions, per Space</t>
        </is>
      </c>
    </row>
    <row r="2" ht="15" customHeight="1" s="19">
      <c r="A2" s="28" t="inlineStr">
        <is>
          <t>SETTLED — August 2026 (amended when L23 exposed the sign problem and two missing axes)</t>
        </is>
      </c>
    </row>
    <row r="3" ht="30" customHeight="1" s="19">
      <c r="A3" s="21" t="inlineStr">
        <is>
          <t>The axes within each Space. Additive-only — a Dimension may be added forever, none removed or redefined.</t>
        </is>
      </c>
    </row>
    <row r="4" ht="30" customHeight="1" s="19">
      <c r="A4" s="32" t="inlineStr">
        <is>
          <t>SIGN CONVENTION: every Dimension is a property of the target. NEGATIVE always means LESS of it — damaged, taken away. POSITIVE always means MORE — restored, given. Two axes are BIPOLAR (temperature, working): displacement either way is what matters.</t>
        </is>
      </c>
    </row>
    <row r="6" ht="15" customHeight="1" s="19">
      <c r="A6" s="33" t="inlineStr">
        <is>
          <t>Space (L21)</t>
        </is>
      </c>
      <c r="B6" s="33" t="inlineStr">
        <is>
          <t>Dimension</t>
        </is>
      </c>
      <c r="C6" s="33" t="inlineStr">
        <is>
          <t>Positive means</t>
        </is>
      </c>
      <c r="D6" s="33" t="inlineStr">
        <is>
          <t>Negative means</t>
        </is>
      </c>
      <c r="E6" s="33" t="inlineStr">
        <is>
          <t>Notes</t>
        </is>
      </c>
    </row>
    <row r="7" ht="23.85" customHeight="1" s="19">
      <c r="A7" s="34" t="inlineStr">
        <is>
          <t>physical</t>
        </is>
      </c>
      <c r="B7" s="34" t="inlineStr">
        <is>
          <t>thermal</t>
        </is>
      </c>
      <c r="C7" s="34" t="inlineStr">
        <is>
          <t>heat</t>
        </is>
      </c>
      <c r="D7" s="34" t="inlineStr">
        <is>
          <t>cold</t>
        </is>
      </c>
      <c r="E7" s="34" t="inlineStr">
        <is>
          <t>Unspecified defaults to zero, so adding a Dimension breaks nothing</t>
        </is>
      </c>
      <c r="F7" s="35" t="inlineStr">
        <is>
          <t>← example, not data</t>
        </is>
      </c>
    </row>
    <row r="8" ht="15" customHeight="1" s="19">
      <c r="A8" s="41" t="inlineStr">
        <is>
          <t>physical</t>
        </is>
      </c>
      <c r="B8" s="41" t="inlineStr">
        <is>
          <t>temperature</t>
        </is>
      </c>
      <c r="C8" s="41" t="inlineStr">
        <is>
          <t>hotter</t>
        </is>
      </c>
      <c r="D8" s="41" t="inlineStr">
        <is>
          <t>colder</t>
        </is>
      </c>
      <c r="E8" s="41" t="inlineStr">
        <is>
          <t>BIPOLAR — both directions harm. fire and frost, the reference case</t>
        </is>
      </c>
    </row>
    <row r="9" ht="15" customHeight="1" s="19">
      <c r="A9" s="41" t="inlineStr">
        <is>
          <t>physical</t>
        </is>
      </c>
      <c r="B9" s="41" t="inlineStr">
        <is>
          <t>integrity</t>
        </is>
      </c>
      <c r="C9" s="41" t="inlineStr">
        <is>
          <t>repaired, reinforced</t>
        </is>
      </c>
      <c r="D9" s="41" t="inlineStr">
        <is>
          <t>broken by force</t>
        </is>
      </c>
      <c r="E9" s="41" t="inlineStr">
        <is>
          <t>a charge meeting a shield wall. Renamed from kinetic: force TAKES integrity</t>
        </is>
      </c>
    </row>
    <row r="10" ht="15" customHeight="1" s="19">
      <c r="A10" s="41" t="inlineStr">
        <is>
          <t>physical</t>
        </is>
      </c>
      <c r="B10" s="41" t="inlineStr">
        <is>
          <t>substance</t>
        </is>
      </c>
      <c r="C10" s="41" t="inlineStr">
        <is>
          <t>sealed, restored</t>
        </is>
      </c>
      <c r="D10" s="41" t="inlineStr">
        <is>
          <t>dissolved, corroded</t>
        </is>
      </c>
      <c r="E10" s="41" t="inlineStr">
        <is>
          <t>acid meeting a mending ward. Renamed from corrosive</t>
        </is>
      </c>
    </row>
    <row r="11" ht="15" customHeight="1" s="19">
      <c r="A11" s="41" t="inlineStr">
        <is>
          <t>physical</t>
        </is>
      </c>
      <c r="B11" s="41" t="inlineStr">
        <is>
          <t>vitality</t>
        </is>
      </c>
      <c r="C11" s="41" t="inlineStr">
        <is>
          <t>healed, cured</t>
        </is>
      </c>
      <c r="D11" s="41" t="inlineStr">
        <is>
          <t>wounded, poisoned, diseased</t>
        </is>
      </c>
      <c r="E11" s="41" t="inlineStr">
        <is>
          <t>a regeneration aura meeting incoming venom. Renamed from vital</t>
        </is>
      </c>
    </row>
    <row r="12" ht="15" customHeight="1" s="19">
      <c r="A12" s="41" t="inlineStr">
        <is>
          <t>physical</t>
        </is>
      </c>
      <c r="B12" s="41" t="inlineStr">
        <is>
          <t>vigor</t>
        </is>
      </c>
      <c r="C12" s="41" t="inlineStr">
        <is>
          <t>rested, energised</t>
        </is>
      </c>
      <c r="D12" s="41" t="inlineStr">
        <is>
          <t>exhausted, spent</t>
        </is>
      </c>
      <c r="E12" s="41" t="inlineStr">
        <is>
          <t>a forced march meeting a stimulant</t>
        </is>
      </c>
    </row>
    <row r="13" ht="15" customHeight="1" s="19">
      <c r="A13" s="41" t="inlineStr">
        <is>
          <t>physical</t>
        </is>
      </c>
      <c r="B13" s="41" t="inlineStr">
        <is>
          <t>mobility</t>
        </is>
      </c>
      <c r="C13" s="41" t="inlineStr">
        <is>
          <t>hastened, freed</t>
        </is>
      </c>
      <c r="D13" s="41" t="inlineStr">
        <is>
          <t>slowed, restrained, rooted</t>
        </is>
      </c>
      <c r="E13" s="41" t="inlineStr">
        <is>
          <t>NEW. Slow/haste/entangle/root had no axis at all</t>
        </is>
      </c>
    </row>
    <row r="14" ht="15" customHeight="1" s="19">
      <c r="A14" s="41" t="inlineStr">
        <is>
          <t>physical</t>
        </is>
      </c>
      <c r="B14" s="41" t="inlineStr">
        <is>
          <t>acuity</t>
        </is>
      </c>
      <c r="C14" s="41" t="inlineStr">
        <is>
          <t>keen, enhanced</t>
        </is>
      </c>
      <c r="D14" s="41" t="inlineStr">
        <is>
          <t>blinded, deafened, numbed</t>
        </is>
      </c>
      <c r="E14" s="41" t="inlineStr">
        <is>
          <t>NEW. Blind/deafen/numb had no axis at all</t>
        </is>
      </c>
    </row>
    <row r="15" ht="15" customHeight="1" s="19">
      <c r="A15" s="41" t="inlineStr">
        <is>
          <t>mental</t>
        </is>
      </c>
      <c r="B15" s="41" t="inlineStr">
        <is>
          <t>composure</t>
        </is>
      </c>
      <c r="C15" s="41" t="inlineStr">
        <is>
          <t>steadied, emboldened</t>
        </is>
      </c>
      <c r="D15" s="41" t="inlineStr">
        <is>
          <t>shaken, afraid</t>
        </is>
      </c>
      <c r="E15" s="41" t="inlineStr">
        <is>
          <t>the bard meeting the dragon</t>
        </is>
      </c>
    </row>
    <row r="16" ht="15" customHeight="1" s="19">
      <c r="A16" s="41" t="inlineStr">
        <is>
          <t>mental</t>
        </is>
      </c>
      <c r="B16" s="41" t="inlineStr">
        <is>
          <t>clarity</t>
        </is>
      </c>
      <c r="C16" s="41" t="inlineStr">
        <is>
          <t>lucid, sharp</t>
        </is>
      </c>
      <c r="D16" s="41" t="inlineStr">
        <is>
          <t>confused, deceived</t>
        </is>
      </c>
      <c r="E16" s="41" t="inlineStr">
        <is>
          <t>a clarity effect meeting an illusion</t>
        </is>
      </c>
    </row>
    <row r="17" ht="15" customHeight="1" s="19">
      <c r="A17" s="41" t="inlineStr">
        <is>
          <t>mental</t>
        </is>
      </c>
      <c r="B17" s="41" t="inlineStr">
        <is>
          <t>will</t>
        </is>
      </c>
      <c r="C17" s="41" t="inlineStr">
        <is>
          <t>your own</t>
        </is>
      </c>
      <c r="D17" s="41" t="inlineStr">
        <is>
          <t>dominated, compelled</t>
        </is>
      </c>
      <c r="E17" s="41" t="inlineStr">
        <is>
          <t>breaking a charm meeting the charm</t>
        </is>
      </c>
    </row>
    <row r="18" ht="15" customHeight="1" s="19">
      <c r="A18" s="41" t="inlineStr">
        <is>
          <t>social</t>
        </is>
      </c>
      <c r="B18" s="41" t="inlineStr">
        <is>
          <t>regard</t>
        </is>
      </c>
      <c r="C18" s="41" t="inlineStr">
        <is>
          <t>admired, trusted</t>
        </is>
      </c>
      <c r="D18" s="41" t="inlineStr">
        <is>
          <t>despised</t>
        </is>
      </c>
      <c r="E18" s="41" t="inlineStr">
        <is>
          <t>praise meeting slander</t>
        </is>
      </c>
    </row>
    <row r="19" ht="15" customHeight="1" s="19">
      <c r="A19" s="41" t="inlineStr">
        <is>
          <t>social</t>
        </is>
      </c>
      <c r="B19" s="41" t="inlineStr">
        <is>
          <t>standing</t>
        </is>
      </c>
      <c r="C19" s="41" t="inlineStr">
        <is>
          <t>elevated</t>
        </is>
      </c>
      <c r="D19" s="41" t="inlineStr">
        <is>
          <t>diminished</t>
        </is>
      </c>
      <c r="E19" s="41" t="inlineStr">
        <is>
          <t>vouched for meeting denounced</t>
        </is>
      </c>
    </row>
    <row r="20" ht="15" customHeight="1" s="19">
      <c r="A20" s="41" t="inlineStr">
        <is>
          <t>mystic</t>
        </is>
      </c>
      <c r="B20" s="41" t="inlineStr">
        <is>
          <t>working</t>
        </is>
      </c>
      <c r="C20" s="41" t="inlineStr">
        <is>
          <t>a working imposed</t>
        </is>
      </c>
      <c r="D20" s="41" t="inlineStr">
        <is>
          <t>workings unmade</t>
        </is>
      </c>
      <c r="E20" s="41" t="inlineStr">
        <is>
          <t>BIPOLAR. COUNTERSPELL meeting the spell. A blessing and a curse both impose</t>
        </is>
      </c>
    </row>
    <row r="21" ht="15" customHeight="1" s="19">
      <c r="A21" s="41" t="inlineStr">
        <is>
          <t>mystic</t>
        </is>
      </c>
      <c r="B21" s="41" t="inlineStr">
        <is>
          <t>essence</t>
        </is>
      </c>
      <c r="C21" s="41" t="inlineStr">
        <is>
          <t>powered</t>
        </is>
      </c>
      <c r="D21" s="41" t="inlineStr">
        <is>
          <t>drained, burned out</t>
        </is>
      </c>
      <c r="E21" s="41" t="inlineStr">
        <is>
          <t>a vampiric drain meeting an infusion</t>
        </is>
      </c>
    </row>
    <row r="22" ht="15" customHeight="1" s="19">
      <c r="A22" s="41" t="inlineStr">
        <is>
          <t>attempt</t>
        </is>
      </c>
      <c r="B22" s="41" t="inlineStr">
        <is>
          <t>(15 Dimensions in 7 Domains)</t>
        </is>
      </c>
      <c r="C22" s="41" t="inlineStr">
        <is>
          <t>did well</t>
        </is>
      </c>
      <c r="D22" s="41" t="inlineStr">
        <is>
          <t>did badly</t>
        </is>
      </c>
      <c r="E22" s="41" t="inlineStr">
        <is>
          <t>See L29. NOT available to Channels</t>
        </is>
      </c>
    </row>
    <row r="23" ht="15" customHeight="1" s="19">
      <c r="A23" s="41" t="inlineStr"/>
      <c r="B23" s="41" t="inlineStr"/>
      <c r="C23" s="41" t="inlineStr"/>
      <c r="D23" s="41" t="inlineStr"/>
      <c r="E23" s="41" t="inlineStr"/>
    </row>
    <row r="24" ht="15" customHeight="1" s="19">
      <c r="A24" s="41" t="inlineStr">
        <is>
          <t>ASYMMETRY: a MISSING Dimension is recoverable. A Dimension that turns out to be TWO THINGS is not. Err few.</t>
        </is>
      </c>
      <c r="B24" s="41" t="inlineStr"/>
      <c r="C24" s="41" t="inlineStr"/>
      <c r="D24" s="41" t="inlineStr"/>
      <c r="E24" s="41" t="inlineStr"/>
    </row>
    <row r="25" ht="15" customHeight="1" s="19">
      <c r="A25" s="41" t="inlineStr"/>
      <c r="B25" s="41" t="inlineStr"/>
      <c r="C25" s="41" t="inlineStr"/>
      <c r="D25" s="41" t="inlineStr"/>
      <c r="E25" s="41" t="inlineStr"/>
    </row>
    <row r="26" ht="15" customHeight="1" s="19">
      <c r="A26" s="41" t="inlineStr">
        <is>
          <t>CONSIDERED AND REJECTED</t>
        </is>
      </c>
      <c r="B26" s="41" t="inlineStr"/>
      <c r="C26" s="41" t="inlineStr"/>
      <c r="D26" s="41" t="inlineStr"/>
      <c r="E26" s="41" t="inlineStr"/>
    </row>
    <row r="27" ht="15" customHeight="1" s="19">
      <c r="A27" s="41" t="inlineStr">
        <is>
          <t>social</t>
        </is>
      </c>
      <c r="B27" s="41" t="inlineStr">
        <is>
          <t>trust</t>
        </is>
      </c>
      <c r="C27" s="41" t="inlineStr"/>
      <c r="D27" s="41" t="inlineStr"/>
      <c r="E27" s="41" t="inlineStr">
        <is>
          <t>HELD BACK: per-pair, so it is a Connection on a Relationship. A social Dimension is broadcast</t>
        </is>
      </c>
    </row>
    <row r="28" ht="15" customHeight="1" s="19">
      <c r="A28" s="41" t="inlineStr">
        <is>
          <t>mystic</t>
        </is>
      </c>
      <c r="B28" s="41" t="inlineStr">
        <is>
          <t>corruption / taint</t>
        </is>
      </c>
      <c r="C28" s="41" t="inlineStr"/>
      <c r="D28" s="41" t="inlineStr"/>
      <c r="E28" s="41" t="inlineStr">
        <is>
          <t>REJECTED: Setting-specific, therefore a Component</t>
        </is>
      </c>
    </row>
    <row r="29" ht="15" customHeight="1" s="19">
      <c r="A29" s="41" t="inlineStr">
        <is>
          <t>physical</t>
        </is>
      </c>
      <c r="B29" s="41" t="inlineStr">
        <is>
          <t>piercing</t>
        </is>
      </c>
      <c r="C29" s="41" t="inlineStr"/>
      <c r="D29" s="41" t="inlineStr"/>
      <c r="E29" s="41" t="inlineStr">
        <is>
          <t>REJECTED: no opposite. It is a Channel positioned mostly on integrity</t>
        </is>
      </c>
    </row>
    <row r="30" ht="15" customHeight="1" s="19">
      <c r="A30" s="41" t="inlineStr">
        <is>
          <t>physical</t>
        </is>
      </c>
      <c r="B30" s="41" t="inlineStr">
        <is>
          <t>holy / unholy</t>
        </is>
      </c>
      <c r="C30" s="41" t="inlineStr"/>
      <c r="D30" s="41" t="inlineStr"/>
      <c r="E30" s="41" t="inlineStr">
        <is>
          <t>REJECTED: its only opposite is itself negated — same axis. And Setting-specific</t>
        </is>
      </c>
    </row>
    <row r="31" ht="15" customHeight="1" s="19">
      <c r="A31" s="37" t="n"/>
      <c r="B31" s="37" t="n"/>
      <c r="C31" s="37" t="n"/>
      <c r="D31" s="37" t="n"/>
      <c r="E31" s="37" t="n"/>
    </row>
    <row r="32" ht="15" customHeight="1" s="19">
      <c r="A32" s="37" t="n"/>
      <c r="B32" s="37" t="n"/>
      <c r="C32" s="37" t="n"/>
      <c r="D32" s="37" t="n"/>
      <c r="E32" s="37" t="n"/>
    </row>
    <row r="33" ht="15" customHeight="1" s="19">
      <c r="A33" s="37" t="n"/>
      <c r="B33" s="37" t="n"/>
      <c r="C33" s="37" t="n"/>
      <c r="D33" s="37" t="n"/>
      <c r="E33" s="37" t="n"/>
    </row>
    <row r="34" ht="15" customHeight="1" s="19">
      <c r="A34" s="37" t="n"/>
      <c r="B34" s="37" t="n"/>
      <c r="C34" s="37" t="n"/>
      <c r="D34" s="37" t="n"/>
      <c r="E34" s="37" t="n"/>
    </row>
    <row r="35" ht="15" customHeight="1" s="19">
      <c r="A35" s="37" t="n"/>
      <c r="B35" s="37" t="n"/>
      <c r="C35" s="37" t="n"/>
      <c r="D35" s="37" t="n"/>
      <c r="E35" s="37" t="n"/>
    </row>
    <row r="36" ht="15" customHeight="1" s="19">
      <c r="A36" s="37" t="n"/>
      <c r="B36" s="37" t="n"/>
      <c r="C36" s="37" t="n"/>
      <c r="D36" s="37" t="n"/>
      <c r="E36" s="37" t="n"/>
    </row>
    <row r="37" ht="15" customHeight="1" s="19">
      <c r="A37" s="37" t="n"/>
      <c r="B37" s="37" t="n"/>
      <c r="C37" s="37" t="n"/>
      <c r="D37" s="37" t="n"/>
      <c r="E37" s="37" t="n"/>
    </row>
    <row r="38" ht="15" customHeight="1" s="19">
      <c r="A38" s="37" t="n"/>
      <c r="B38" s="37" t="n"/>
      <c r="C38" s="37" t="n"/>
      <c r="D38" s="37" t="n"/>
      <c r="E38" s="37" t="n"/>
    </row>
    <row r="39" ht="15" customHeight="1" s="19">
      <c r="A39" s="37" t="n"/>
      <c r="B39" s="37" t="n"/>
      <c r="C39" s="37" t="n"/>
      <c r="D39" s="37" t="n"/>
      <c r="E39" s="37" t="n"/>
    </row>
    <row r="40" ht="15" customHeight="1" s="19">
      <c r="A40" s="37" t="n"/>
      <c r="B40" s="37" t="n"/>
      <c r="C40" s="37" t="n"/>
      <c r="D40" s="37" t="n"/>
      <c r="E40" s="37" t="n"/>
    </row>
    <row r="41" ht="15" customHeight="1" s="19">
      <c r="A41" s="37" t="n"/>
      <c r="B41" s="37" t="n"/>
      <c r="C41" s="37" t="n"/>
      <c r="D41" s="37" t="n"/>
      <c r="E41" s="37" t="n"/>
    </row>
    <row r="42" ht="15" customHeight="1" s="19">
      <c r="A42" s="37" t="n"/>
      <c r="B42" s="37" t="n"/>
      <c r="C42" s="37" t="n"/>
      <c r="D42" s="37" t="n"/>
      <c r="E42" s="37" t="n"/>
    </row>
    <row r="43" ht="15" customHeight="1" s="19">
      <c r="A43" s="37" t="n"/>
      <c r="B43" s="37" t="n"/>
      <c r="C43" s="37" t="n"/>
      <c r="D43" s="37" t="n"/>
      <c r="E43" s="37" t="n"/>
    </row>
    <row r="44" ht="15" customHeight="1" s="19">
      <c r="A44" s="37" t="n"/>
      <c r="B44" s="37" t="n"/>
      <c r="C44" s="37" t="n"/>
      <c r="D44" s="37" t="n"/>
      <c r="E44" s="37" t="n"/>
    </row>
    <row r="45" ht="15" customHeight="1" s="19">
      <c r="A45" s="37" t="n"/>
      <c r="B45" s="37" t="n"/>
      <c r="C45" s="37" t="n"/>
      <c r="D45" s="37" t="n"/>
      <c r="E45" s="37" t="n"/>
    </row>
    <row r="46" ht="15" customHeight="1" s="19">
      <c r="A46" s="37" t="n"/>
      <c r="B46" s="37" t="n"/>
      <c r="C46" s="37" t="n"/>
      <c r="D46" s="37" t="n"/>
      <c r="E46" s="37" t="n"/>
    </row>
    <row r="47" ht="15" customHeight="1" s="19">
      <c r="A47" s="37" t="n"/>
      <c r="B47" s="37" t="n"/>
      <c r="C47" s="37" t="n"/>
      <c r="D47" s="37" t="n"/>
      <c r="E47" s="3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Q94"/>
  <sheetViews>
    <sheetView showFormulas="0" showGridLines="0" showRowColHeaders="1" showZeros="1" rightToLeft="0" tabSelected="0" showOutlineSymbols="1" defaultGridColor="1" view="normal" topLeftCell="A1" colorId="64" zoomScale="100" zoomScaleNormal="100" zoomScalePageLayoutView="100" workbookViewId="0">
      <pane xSplit="2" ySplit="6" topLeftCell="C7" activePane="bottomRight" state="frozen"/>
      <selection pane="topRight" activeCell="A1" sqref="A1"/>
      <selection pane="bottomLeft" activeCell="A1" sqref="A1"/>
      <selection pane="bottomRight" activeCell="A1" activeCellId="0" sqref="A1"/>
      <selection pane="bottomLeft" activeCell="A1" activeCellId="0" sqref="A1"/>
    </sheetView>
  </sheetViews>
  <sheetFormatPr baseColWidth="8" defaultColWidth="8.6796875" defaultRowHeight="15" zeroHeight="0" outlineLevelRow="0"/>
  <cols>
    <col width="20" customWidth="1" style="18" min="1" max="1"/>
    <col width="14" customWidth="1" style="18" min="2" max="2"/>
    <col width="5" customWidth="1" style="18" min="3" max="3"/>
    <col width="5" customWidth="1" style="18" min="4" max="4"/>
    <col width="5" customWidth="1" style="18" min="5" max="5"/>
    <col width="5" customWidth="1" style="18" min="6" max="6"/>
    <col width="5" customWidth="1" style="19" min="7" max="7"/>
    <col width="5" customWidth="1" style="19" min="8" max="8"/>
    <col width="5" customWidth="1" style="19" min="9" max="9"/>
    <col width="5" customWidth="1" style="19" min="10" max="10"/>
    <col width="5" customWidth="1" style="19" min="11" max="11"/>
    <col width="5" customWidth="1" style="19" min="12" max="12"/>
    <col width="5" customWidth="1" style="19" min="13" max="13"/>
    <col width="5" customWidth="1" style="19" min="14" max="14"/>
    <col width="5" customWidth="1" style="19" min="15" max="15"/>
    <col width="5" customWidth="1" style="19" min="16" max="16"/>
  </cols>
  <sheetData>
    <row r="1" ht="17.35" customHeight="1" s="19">
      <c r="A1" s="43" t="inlineStr">
        <is>
          <t>L23 · Named Channels</t>
        </is>
      </c>
    </row>
    <row r="2" ht="15" customHeight="1" s="19">
      <c r="A2" s="44" t="inlineStr">
        <is>
          <t>SETTLED — August 2026</t>
        </is>
      </c>
    </row>
    <row r="3" ht="30" customHeight="1" s="19">
      <c r="A3" s="21" t="inlineStr">
        <is>
          <t>Positions in HUNDREDTHS. Every row must sum, in absolute value, to exactly 100 (column R checks it). No two Channels may share a position.</t>
        </is>
      </c>
    </row>
    <row r="4" ht="30" customHeight="1" s="19">
      <c r="A4" s="32" t="inlineStr">
        <is>
          <t>SIGNS: all-negative harms · all-positive helps · mixed is a TRADE. Only humble, menace and enthrall are mixed.</t>
        </is>
      </c>
    </row>
    <row r="6" ht="15" customHeight="1" s="19">
      <c r="A6" s="45" t="inlineStr">
        <is>
          <t>Group</t>
        </is>
      </c>
      <c r="B6" s="45" t="inlineStr">
        <is>
          <t>Channel</t>
        </is>
      </c>
      <c r="C6" s="46" t="inlineStr">
        <is>
          <t>temperature</t>
        </is>
      </c>
      <c r="D6" s="46" t="inlineStr">
        <is>
          <t>integrity</t>
        </is>
      </c>
      <c r="E6" s="46" t="inlineStr">
        <is>
          <t>substance</t>
        </is>
      </c>
      <c r="F6" s="46" t="inlineStr">
        <is>
          <t>vitality</t>
        </is>
      </c>
      <c r="G6" s="47" t="inlineStr">
        <is>
          <t>vigor</t>
        </is>
      </c>
      <c r="H6" s="47" t="inlineStr">
        <is>
          <t>mobility</t>
        </is>
      </c>
      <c r="I6" s="47" t="inlineStr">
        <is>
          <t>acuity</t>
        </is>
      </c>
      <c r="J6" s="47" t="inlineStr">
        <is>
          <t>composure</t>
        </is>
      </c>
      <c r="K6" s="47" t="inlineStr">
        <is>
          <t>clarity</t>
        </is>
      </c>
      <c r="L6" s="47" t="inlineStr">
        <is>
          <t>will</t>
        </is>
      </c>
      <c r="M6" s="47" t="inlineStr">
        <is>
          <t>regard</t>
        </is>
      </c>
      <c r="N6" s="47" t="inlineStr">
        <is>
          <t>standing</t>
        </is>
      </c>
      <c r="O6" s="47" t="inlineStr">
        <is>
          <t>working</t>
        </is>
      </c>
      <c r="P6" s="47" t="inlineStr">
        <is>
          <t>essence</t>
        </is>
      </c>
      <c r="Q6" s="48" t="inlineStr">
        <is>
          <t>|sum| = 100?</t>
        </is>
      </c>
    </row>
    <row r="7" ht="46.25" customHeight="1" s="19">
      <c r="A7" s="49" t="inlineStr">
        <is>
          <t>FORCE &amp; WEAPONS</t>
        </is>
      </c>
      <c r="B7" s="50" t="inlineStr">
        <is>
          <t>impact</t>
        </is>
      </c>
      <c r="C7" s="34" t="inlineStr">
        <is>
          <t>thermal +1.0</t>
        </is>
      </c>
      <c r="D7" s="51" t="n">
        <v>-100</v>
      </c>
      <c r="E7" s="34" t="inlineStr">
        <is>
          <t>transient</t>
        </is>
      </c>
      <c r="F7" s="34" t="inlineStr">
        <is>
          <t>Creating a damage type means placing it. Its relationship to every existing type is then already determined</t>
        </is>
      </c>
      <c r="G7" s="35" t="inlineStr">
        <is>
          <t>← example, not data</t>
        </is>
      </c>
      <c r="Q7" s="18">
        <f>IF(SUMPRODUCT(ABS(C7:P7))=100,"ok","*** FIX ***")</f>
        <v/>
      </c>
    </row>
    <row r="8" ht="15" customHeight="1" s="19">
      <c r="A8" s="52" t="inlineStr">
        <is>
          <t>FORCE &amp; WEAPONS</t>
        </is>
      </c>
      <c r="B8" s="40" t="inlineStr">
        <is>
          <t>pierce</t>
        </is>
      </c>
      <c r="C8" s="36" t="inlineStr">
        <is>
          <t>thermal +1.0</t>
        </is>
      </c>
      <c r="D8" s="53" t="n">
        <v>-80</v>
      </c>
      <c r="E8" s="36" t="inlineStr">
        <is>
          <t>transient</t>
        </is>
      </c>
      <c r="F8" s="53" t="n">
        <v>-20</v>
      </c>
      <c r="Q8" s="18">
        <f>IF(SUMPRODUCT(ABS(C8:P8))=100,"ok","*** FIX ***")</f>
        <v/>
      </c>
    </row>
    <row r="9" ht="15" customHeight="1" s="19">
      <c r="A9" s="52" t="inlineStr">
        <is>
          <t>FORCE &amp; WEAPONS</t>
        </is>
      </c>
      <c r="B9" s="40" t="inlineStr">
        <is>
          <t>rend</t>
        </is>
      </c>
      <c r="C9" s="36" t="inlineStr">
        <is>
          <t>thermal −1.0</t>
        </is>
      </c>
      <c r="D9" s="53" t="n">
        <v>-60</v>
      </c>
      <c r="E9" s="36" t="inlineStr">
        <is>
          <t>transient</t>
        </is>
      </c>
      <c r="F9" s="53" t="n">
        <v>-40</v>
      </c>
      <c r="Q9" s="18">
        <f>IF(SUMPRODUCT(ABS(C9:P9))=100,"ok","*** FIX ***")</f>
        <v/>
      </c>
    </row>
    <row r="10" ht="15" customHeight="1" s="19">
      <c r="A10" s="52" t="inlineStr">
        <is>
          <t>FORCE &amp; WEAPONS</t>
        </is>
      </c>
      <c r="B10" s="40" t="inlineStr">
        <is>
          <t>bleed</t>
        </is>
      </c>
      <c r="C10" s="36" t="inlineStr">
        <is>
          <t>kinetic +1.0</t>
        </is>
      </c>
      <c r="D10" s="53" t="n">
        <v>-30</v>
      </c>
      <c r="E10" s="36" t="inlineStr">
        <is>
          <t>transient</t>
        </is>
      </c>
      <c r="F10" s="53" t="n">
        <v>-70</v>
      </c>
      <c r="Q10" s="18">
        <f>IF(SUMPRODUCT(ABS(C10:P10))=100,"ok","*** FIX ***")</f>
        <v/>
      </c>
    </row>
    <row r="11" ht="15" customHeight="1" s="19">
      <c r="A11" s="52" t="inlineStr">
        <is>
          <t>FORCE &amp; WEAPONS</t>
        </is>
      </c>
      <c r="B11" s="40" t="inlineStr">
        <is>
          <t>crush</t>
        </is>
      </c>
      <c r="C11" s="36" t="inlineStr">
        <is>
          <t>thermal +0.3, kinetic +0.7</t>
        </is>
      </c>
      <c r="D11" s="53" t="n">
        <v>-70</v>
      </c>
      <c r="E11" s="53" t="n">
        <v>-30</v>
      </c>
      <c r="F11" s="36" t="inlineStr">
        <is>
          <t>PROPOSED. The interior Channel that proves the Space is worth having</t>
        </is>
      </c>
      <c r="Q11" s="18">
        <f>IF(SUMPRODUCT(ABS(C11:P11))=100,"ok","*** FIX ***")</f>
        <v/>
      </c>
    </row>
    <row r="12" ht="15" customHeight="1" s="19">
      <c r="A12" s="52" t="inlineStr">
        <is>
          <t>FORCE &amp; WEAPONS</t>
        </is>
      </c>
      <c r="B12" s="40" t="inlineStr">
        <is>
          <t>stagger</t>
        </is>
      </c>
      <c r="C12" s="36" t="inlineStr">
        <is>
          <t>vital +1.0</t>
        </is>
      </c>
      <c r="D12" s="53" t="n">
        <v>-50</v>
      </c>
      <c r="E12" s="36" t="inlineStr">
        <is>
          <t>persistent</t>
        </is>
      </c>
      <c r="F12" s="36" t="inlineStr">
        <is>
          <t>PROPOSED. Persistent — it keeps working</t>
        </is>
      </c>
      <c r="G12" s="54" t="n">
        <v>-50</v>
      </c>
      <c r="Q12" s="18">
        <f>IF(SUMPRODUCT(ABS(C12:P12))=100,"ok","*** FIX ***")</f>
        <v/>
      </c>
    </row>
    <row r="13" ht="15" customHeight="1" s="19">
      <c r="A13" s="52" t="inlineStr">
        <is>
          <t>FORCE &amp; WEAPONS</t>
        </is>
      </c>
      <c r="B13" s="40" t="inlineStr">
        <is>
          <t>concussion</t>
        </is>
      </c>
      <c r="C13" s="36" t="inlineStr">
        <is>
          <t>corrosive +0.7, thermal +0.3</t>
        </is>
      </c>
      <c r="D13" s="53" t="n">
        <v>-50</v>
      </c>
      <c r="E13" s="36" t="inlineStr">
        <is>
          <t>persistent</t>
        </is>
      </c>
      <c r="F13" s="36" t="inlineStr">
        <is>
          <t>PROPOSED. Second interior Channel</t>
        </is>
      </c>
      <c r="K13" s="54" t="n">
        <v>-50</v>
      </c>
      <c r="Q13" s="18">
        <f>IF(SUMPRODUCT(ABS(C13:P13))=100,"ok","*** FIX ***")</f>
        <v/>
      </c>
    </row>
    <row r="14" ht="15" customHeight="1" s="19">
      <c r="A14" s="52" t="inlineStr">
        <is>
          <t>FORCE &amp; WEAPONS</t>
        </is>
      </c>
      <c r="B14" s="40" t="inlineStr">
        <is>
          <t>knockdown</t>
        </is>
      </c>
      <c r="C14" s="36" t="inlineStr">
        <is>
          <t>thermal +0.6, vital +0.4</t>
        </is>
      </c>
      <c r="D14" s="53" t="n">
        <v>-40</v>
      </c>
      <c r="E14" s="36" t="inlineStr">
        <is>
          <t>transient</t>
        </is>
      </c>
      <c r="F14" s="36" t="inlineStr">
        <is>
          <t>PROPOSED. Third interior Channel — the target is at least three</t>
        </is>
      </c>
      <c r="H14" s="54" t="n">
        <v>-60</v>
      </c>
      <c r="Q14" s="18">
        <f>IF(SUMPRODUCT(ABS(C14:P14))=100,"ok","*** FIX ***")</f>
        <v/>
      </c>
    </row>
    <row r="15" ht="15" customHeight="1" s="19">
      <c r="A15" s="52" t="inlineStr">
        <is>
          <t>ELEMENTS</t>
        </is>
      </c>
      <c r="B15" s="40" t="inlineStr">
        <is>
          <t>fire</t>
        </is>
      </c>
      <c r="C15" s="55" t="n">
        <v>100</v>
      </c>
      <c r="D15" s="36" t="inlineStr">
        <is>
          <t>1.0</t>
        </is>
      </c>
      <c r="E15" s="36" t="inlineStr">
        <is>
          <t>transient</t>
        </is>
      </c>
      <c r="F15" s="36" t="inlineStr">
        <is>
          <t>PROPOSED. Fear, at the cost of some standing</t>
        </is>
      </c>
      <c r="Q15" s="18">
        <f>IF(SUMPRODUCT(ABS(C15:P15))=100,"ok","*** FIX ***")</f>
        <v/>
      </c>
    </row>
    <row r="16" ht="15" customHeight="1" s="19">
      <c r="A16" s="52" t="inlineStr">
        <is>
          <t>ELEMENTS</t>
        </is>
      </c>
      <c r="B16" s="40" t="inlineStr">
        <is>
          <t>frost</t>
        </is>
      </c>
      <c r="C16" s="53" t="n">
        <v>-100</v>
      </c>
      <c r="D16" s="36" t="inlineStr">
        <is>
          <t>1.0</t>
        </is>
      </c>
      <c r="E16" s="36" t="inlineStr">
        <is>
          <t>transient</t>
        </is>
      </c>
      <c r="F16" s="36" t="inlineStr">
        <is>
          <t>PROPOSED</t>
        </is>
      </c>
      <c r="Q16" s="18">
        <f>IF(SUMPRODUCT(ABS(C16:P16))=100,"ok","*** FIX ***")</f>
        <v/>
      </c>
    </row>
    <row r="17" ht="15" customHeight="1" s="19">
      <c r="A17" s="52" t="inlineStr">
        <is>
          <t>ELEMENTS</t>
        </is>
      </c>
      <c r="B17" s="40" t="inlineStr">
        <is>
          <t>lightning</t>
        </is>
      </c>
      <c r="C17" s="55" t="n">
        <v>30</v>
      </c>
      <c r="D17" s="53" t="n">
        <v>-70</v>
      </c>
      <c r="E17" s="36" t="inlineStr"/>
      <c r="F17" s="36" t="inlineStr"/>
      <c r="Q17" s="18">
        <f>IF(SUMPRODUCT(ABS(C17:P17))=100,"ok","*** FIX ***")</f>
        <v/>
      </c>
    </row>
    <row r="18" ht="15" customHeight="1" s="19">
      <c r="A18" s="52" t="inlineStr">
        <is>
          <t>ELEMENTS</t>
        </is>
      </c>
      <c r="B18" s="40" t="inlineStr">
        <is>
          <t>blast</t>
        </is>
      </c>
      <c r="C18" s="55" t="n">
        <v>50</v>
      </c>
      <c r="D18" s="53" t="n">
        <v>-50</v>
      </c>
      <c r="E18" s="36" t="inlineStr"/>
      <c r="F18" s="36" t="inlineStr"/>
      <c r="Q18" s="18">
        <f>IF(SUMPRODUCT(ABS(C18:P18))=100,"ok","*** FIX ***")</f>
        <v/>
      </c>
    </row>
    <row r="19" ht="15" customHeight="1" s="19">
      <c r="A19" s="52" t="inlineStr">
        <is>
          <t>ELEMENTS</t>
        </is>
      </c>
      <c r="B19" s="40" t="inlineStr">
        <is>
          <t>shockwave</t>
        </is>
      </c>
      <c r="C19" s="36" t="inlineStr"/>
      <c r="D19" s="53" t="n">
        <v>-60</v>
      </c>
      <c r="E19" s="36" t="inlineStr"/>
      <c r="F19" s="36" t="inlineStr"/>
      <c r="I19" s="54" t="n">
        <v>-40</v>
      </c>
      <c r="Q19" s="18">
        <f>IF(SUMPRODUCT(ABS(C19:P19))=100,"ok","*** FIX ***")</f>
        <v/>
      </c>
    </row>
    <row r="20" ht="15" customHeight="1" s="19">
      <c r="A20" s="56" t="inlineStr">
        <is>
          <t>ELEMENTS</t>
        </is>
      </c>
      <c r="B20" s="57" t="inlineStr">
        <is>
          <t>acid</t>
        </is>
      </c>
      <c r="C20" s="37" t="n"/>
      <c r="D20" s="37" t="n"/>
      <c r="E20" s="51" t="n">
        <v>-100</v>
      </c>
      <c r="F20" s="37" t="n"/>
      <c r="Q20" s="18">
        <f>IF(SUMPRODUCT(ABS(C20:P20))=100,"ok","*** FIX ***")</f>
        <v/>
      </c>
    </row>
    <row r="21" ht="15" customHeight="1" s="19">
      <c r="A21" s="56" t="inlineStr">
        <is>
          <t>ELEMENTS</t>
        </is>
      </c>
      <c r="B21" s="57" t="inlineStr">
        <is>
          <t>molten</t>
        </is>
      </c>
      <c r="C21" s="58" t="n">
        <v>50</v>
      </c>
      <c r="D21" s="37" t="n"/>
      <c r="E21" s="51" t="n">
        <v>-50</v>
      </c>
      <c r="F21" s="37" t="n"/>
      <c r="Q21" s="18">
        <f>IF(SUMPRODUCT(ABS(C21:P21))=100,"ok","*** FIX ***")</f>
        <v/>
      </c>
    </row>
    <row r="22" ht="15" customHeight="1" s="19">
      <c r="A22" s="56" t="inlineStr">
        <is>
          <t>ELEMENTS</t>
        </is>
      </c>
      <c r="B22" s="57" t="inlineStr">
        <is>
          <t>scald</t>
        </is>
      </c>
      <c r="C22" s="58" t="n">
        <v>60</v>
      </c>
      <c r="D22" s="37" t="n"/>
      <c r="E22" s="37" t="n"/>
      <c r="F22" s="51" t="n">
        <v>-40</v>
      </c>
      <c r="Q22" s="18">
        <f>IF(SUMPRODUCT(ABS(C22:P22))=100,"ok","*** FIX ***")</f>
        <v/>
      </c>
    </row>
    <row r="23" ht="15" customHeight="1" s="19">
      <c r="A23" s="56" t="inlineStr">
        <is>
          <t>ELEMENTS</t>
        </is>
      </c>
      <c r="B23" s="57" t="inlineStr">
        <is>
          <t>frostbite</t>
        </is>
      </c>
      <c r="C23" s="51" t="n">
        <v>-50</v>
      </c>
      <c r="D23" s="37" t="n"/>
      <c r="E23" s="37" t="n"/>
      <c r="F23" s="51" t="n">
        <v>-50</v>
      </c>
      <c r="Q23" s="18">
        <f>IF(SUMPRODUCT(ABS(C23:P23))=100,"ok","*** FIX ***")</f>
        <v/>
      </c>
    </row>
    <row r="24" ht="15" customHeight="1" s="19">
      <c r="A24" s="56" t="inlineStr">
        <is>
          <t>ELEMENTS</t>
        </is>
      </c>
      <c r="B24" s="57" t="inlineStr">
        <is>
          <t>exposure</t>
        </is>
      </c>
      <c r="C24" s="51" t="n">
        <v>-40</v>
      </c>
      <c r="D24" s="37" t="n"/>
      <c r="E24" s="37" t="n"/>
      <c r="F24" s="37" t="n"/>
      <c r="G24" s="54" t="n">
        <v>-60</v>
      </c>
      <c r="Q24" s="18">
        <f>IF(SUMPRODUCT(ABS(C24:P24))=100,"ok","*** FIX ***")</f>
        <v/>
      </c>
    </row>
    <row r="25" ht="15" customHeight="1" s="19">
      <c r="A25" s="56" t="inlineStr">
        <is>
          <t>ELEMENTS</t>
        </is>
      </c>
      <c r="B25" s="57" t="inlineStr">
        <is>
          <t>flash</t>
        </is>
      </c>
      <c r="C25" s="37" t="n"/>
      <c r="D25" s="37" t="n"/>
      <c r="E25" s="37" t="n"/>
      <c r="F25" s="37" t="n"/>
      <c r="I25" s="54" t="n">
        <v>-70</v>
      </c>
      <c r="K25" s="54" t="n">
        <v>-30</v>
      </c>
      <c r="Q25" s="18">
        <f>IF(SUMPRODUCT(ABS(C25:P25))=100,"ok","*** FIX ***")</f>
        <v/>
      </c>
    </row>
    <row r="26" ht="15" customHeight="1" s="19">
      <c r="A26" s="56" t="inlineStr">
        <is>
          <t>AFFLICTION</t>
        </is>
      </c>
      <c r="B26" s="57" t="inlineStr">
        <is>
          <t>venom</t>
        </is>
      </c>
      <c r="C26" s="37" t="n"/>
      <c r="D26" s="37" t="n"/>
      <c r="E26" s="37" t="n"/>
      <c r="F26" s="51" t="n">
        <v>-70</v>
      </c>
      <c r="K26" s="54" t="n">
        <v>-30</v>
      </c>
      <c r="Q26" s="18">
        <f>IF(SUMPRODUCT(ABS(C26:P26))=100,"ok","*** FIX ***")</f>
        <v/>
      </c>
    </row>
    <row r="27" ht="15" customHeight="1" s="19">
      <c r="A27" s="56" t="inlineStr">
        <is>
          <t>AFFLICTION</t>
        </is>
      </c>
      <c r="B27" s="57" t="inlineStr">
        <is>
          <t>blight</t>
        </is>
      </c>
      <c r="C27" s="37" t="n"/>
      <c r="D27" s="37" t="n"/>
      <c r="E27" s="51" t="n">
        <v>-50</v>
      </c>
      <c r="F27" s="51" t="n">
        <v>-50</v>
      </c>
      <c r="Q27" s="18">
        <f>IF(SUMPRODUCT(ABS(C27:P27))=100,"ok","*** FIX ***")</f>
        <v/>
      </c>
    </row>
    <row r="28" ht="15" customHeight="1" s="19">
      <c r="A28" s="56" t="inlineStr">
        <is>
          <t>AFFLICTION</t>
        </is>
      </c>
      <c r="B28" s="57" t="inlineStr">
        <is>
          <t>agony</t>
        </is>
      </c>
      <c r="C28" s="37" t="n"/>
      <c r="D28" s="37" t="n"/>
      <c r="E28" s="37" t="n"/>
      <c r="F28" s="51" t="n">
        <v>-50</v>
      </c>
      <c r="K28" s="54" t="n">
        <v>-50</v>
      </c>
      <c r="Q28" s="18">
        <f>IF(SUMPRODUCT(ABS(C28:P28))=100,"ok","*** FIX ***")</f>
        <v/>
      </c>
    </row>
    <row r="29" ht="15" customHeight="1" s="19">
      <c r="A29" s="56" t="inlineStr">
        <is>
          <t>AFFLICTION</t>
        </is>
      </c>
      <c r="B29" s="57" t="inlineStr">
        <is>
          <t>fatigue</t>
        </is>
      </c>
      <c r="C29" s="37" t="n"/>
      <c r="D29" s="37" t="n"/>
      <c r="E29" s="37" t="n"/>
      <c r="F29" s="37" t="n"/>
      <c r="G29" s="54" t="n">
        <v>-70</v>
      </c>
      <c r="J29" s="54" t="n">
        <v>-30</v>
      </c>
      <c r="Q29" s="18">
        <f>IF(SUMPRODUCT(ABS(C29:P29))=100,"ok","*** FIX ***")</f>
        <v/>
      </c>
    </row>
    <row r="30" ht="15" customHeight="1" s="19">
      <c r="A30" s="56" t="inlineStr">
        <is>
          <t>AFFLICTION</t>
        </is>
      </c>
      <c r="B30" s="57" t="inlineStr">
        <is>
          <t>wither</t>
        </is>
      </c>
      <c r="C30" s="37" t="n"/>
      <c r="D30" s="37" t="n"/>
      <c r="E30" s="37" t="n"/>
      <c r="F30" s="51" t="n">
        <v>-60</v>
      </c>
      <c r="G30" s="54" t="n">
        <v>-40</v>
      </c>
      <c r="Q30" s="18">
        <f>IF(SUMPRODUCT(ABS(C30:P30))=100,"ok","*** FIX ***")</f>
        <v/>
      </c>
    </row>
    <row r="31" ht="15" customHeight="1" s="19">
      <c r="A31" s="56" t="inlineStr">
        <is>
          <t>AFFLICTION</t>
        </is>
      </c>
      <c r="B31" s="57" t="inlineStr">
        <is>
          <t>rot</t>
        </is>
      </c>
      <c r="C31" s="37" t="n"/>
      <c r="D31" s="37" t="n"/>
      <c r="E31" s="51" t="n">
        <v>-60</v>
      </c>
      <c r="F31" s="37" t="n"/>
      <c r="G31" s="54" t="n">
        <v>-40</v>
      </c>
      <c r="Q31" s="18">
        <f>IF(SUMPRODUCT(ABS(C31:P31))=100,"ok","*** FIX ***")</f>
        <v/>
      </c>
    </row>
    <row r="32" ht="15" customHeight="1" s="19">
      <c r="A32" s="56" t="inlineStr">
        <is>
          <t>AFFLICTION</t>
        </is>
      </c>
      <c r="B32" s="57" t="inlineStr">
        <is>
          <t>numb</t>
        </is>
      </c>
      <c r="C32" s="37" t="n"/>
      <c r="D32" s="37" t="n"/>
      <c r="E32" s="37" t="n"/>
      <c r="F32" s="37" t="n"/>
      <c r="H32" s="54" t="n">
        <v>-40</v>
      </c>
      <c r="I32" s="54" t="n">
        <v>-60</v>
      </c>
      <c r="Q32" s="18">
        <f>IF(SUMPRODUCT(ABS(C32:P32))=100,"ok","*** FIX ***")</f>
        <v/>
      </c>
    </row>
    <row r="33" ht="15" customHeight="1" s="19">
      <c r="A33" s="56" t="inlineStr">
        <is>
          <t>BINDING &amp; MOVEMENT</t>
        </is>
      </c>
      <c r="B33" s="57" t="inlineStr">
        <is>
          <t>slow</t>
        </is>
      </c>
      <c r="C33" s="37" t="n"/>
      <c r="D33" s="37" t="n"/>
      <c r="E33" s="37" t="n"/>
      <c r="F33" s="37" t="n"/>
      <c r="H33" s="54" t="n">
        <v>-100</v>
      </c>
      <c r="Q33" s="18">
        <f>IF(SUMPRODUCT(ABS(C33:P33))=100,"ok","*** FIX ***")</f>
        <v/>
      </c>
    </row>
    <row r="34" ht="15" customHeight="1" s="19">
      <c r="A34" s="56" t="inlineStr">
        <is>
          <t>BINDING &amp; MOVEMENT</t>
        </is>
      </c>
      <c r="B34" s="57" t="inlineStr">
        <is>
          <t>entangle</t>
        </is>
      </c>
      <c r="C34" s="37" t="n"/>
      <c r="D34" s="37" t="n"/>
      <c r="E34" s="37" t="n"/>
      <c r="F34" s="37" t="n"/>
      <c r="G34" s="54" t="n">
        <v>-30</v>
      </c>
      <c r="H34" s="54" t="n">
        <v>-70</v>
      </c>
      <c r="Q34" s="18">
        <f>IF(SUMPRODUCT(ABS(C34:P34))=100,"ok","*** FIX ***")</f>
        <v/>
      </c>
    </row>
    <row r="35" ht="15" customHeight="1" s="19">
      <c r="A35" s="56" t="inlineStr">
        <is>
          <t>BINDING &amp; MOVEMENT</t>
        </is>
      </c>
      <c r="B35" s="57" t="inlineStr">
        <is>
          <t>snare</t>
        </is>
      </c>
      <c r="C35" s="37" t="n"/>
      <c r="D35" s="37" t="n"/>
      <c r="E35" s="37" t="n"/>
      <c r="F35" s="51" t="n">
        <v>-20</v>
      </c>
      <c r="H35" s="54" t="n">
        <v>-80</v>
      </c>
      <c r="Q35" s="18">
        <f>IF(SUMPRODUCT(ABS(C35:P35))=100,"ok","*** FIX ***")</f>
        <v/>
      </c>
    </row>
    <row r="36" ht="15" customHeight="1" s="19">
      <c r="A36" s="56" t="inlineStr">
        <is>
          <t>BINDING &amp; MOVEMENT</t>
        </is>
      </c>
      <c r="B36" s="57" t="inlineStr">
        <is>
          <t>cripple</t>
        </is>
      </c>
      <c r="C36" s="37" t="n"/>
      <c r="D36" s="37" t="n"/>
      <c r="E36" s="37" t="n"/>
      <c r="F36" s="51" t="n">
        <v>-40</v>
      </c>
      <c r="H36" s="54" t="n">
        <v>-60</v>
      </c>
      <c r="Q36" s="18">
        <f>IF(SUMPRODUCT(ABS(C36:P36))=100,"ok","*** FIX ***")</f>
        <v/>
      </c>
    </row>
    <row r="37" ht="15" customHeight="1" s="19">
      <c r="A37" s="56" t="inlineStr">
        <is>
          <t>BINDING &amp; MOVEMENT</t>
        </is>
      </c>
      <c r="B37" s="57" t="inlineStr">
        <is>
          <t>pin</t>
        </is>
      </c>
      <c r="C37" s="37" t="n"/>
      <c r="D37" s="51" t="n">
        <v>-50</v>
      </c>
      <c r="E37" s="37" t="n"/>
      <c r="F37" s="37" t="n"/>
      <c r="H37" s="54" t="n">
        <v>-50</v>
      </c>
      <c r="Q37" s="18">
        <f>IF(SUMPRODUCT(ABS(C37:P37))=100,"ok","*** FIX ***")</f>
        <v/>
      </c>
    </row>
    <row r="38" ht="15" customHeight="1" s="19">
      <c r="A38" s="56" t="inlineStr">
        <is>
          <t>BINDING &amp; MOVEMENT</t>
        </is>
      </c>
      <c r="B38" s="57" t="inlineStr">
        <is>
          <t>petrify</t>
        </is>
      </c>
      <c r="C38" s="37" t="n"/>
      <c r="D38" s="58" t="n">
        <v>40</v>
      </c>
      <c r="E38" s="37" t="n"/>
      <c r="F38" s="37" t="n"/>
      <c r="H38" s="54" t="n">
        <v>-60</v>
      </c>
      <c r="Q38" s="18">
        <f>IF(SUMPRODUCT(ABS(C38:P38))=100,"ok","*** FIX ***")</f>
        <v/>
      </c>
    </row>
    <row r="39" ht="15" customHeight="1" s="19">
      <c r="A39" s="56" t="inlineStr">
        <is>
          <t>FEAR &amp; MIND</t>
        </is>
      </c>
      <c r="B39" s="57" t="inlineStr">
        <is>
          <t>dread</t>
        </is>
      </c>
      <c r="C39" s="37" t="n"/>
      <c r="D39" s="37" t="n"/>
      <c r="E39" s="37" t="n"/>
      <c r="F39" s="37" t="n"/>
      <c r="J39" s="54" t="n">
        <v>-100</v>
      </c>
      <c r="Q39" s="18">
        <f>IF(SUMPRODUCT(ABS(C39:P39))=100,"ok","*** FIX ***")</f>
        <v/>
      </c>
    </row>
    <row r="40" ht="15" customHeight="1" s="19">
      <c r="A40" s="56" t="inlineStr">
        <is>
          <t>FEAR &amp; MIND</t>
        </is>
      </c>
      <c r="B40" s="57" t="inlineStr">
        <is>
          <t>terror</t>
        </is>
      </c>
      <c r="C40" s="37" t="n"/>
      <c r="D40" s="37" t="n"/>
      <c r="E40" s="37" t="n"/>
      <c r="F40" s="37" t="n"/>
      <c r="G40" s="54" t="n">
        <v>-30</v>
      </c>
      <c r="J40" s="54" t="n">
        <v>-70</v>
      </c>
      <c r="Q40" s="18">
        <f>IF(SUMPRODUCT(ABS(C40:P40))=100,"ok","*** FIX ***")</f>
        <v/>
      </c>
    </row>
    <row r="41" ht="15" customHeight="1" s="19">
      <c r="A41" s="56" t="inlineStr">
        <is>
          <t>FEAR &amp; MIND</t>
        </is>
      </c>
      <c r="B41" s="57" t="inlineStr">
        <is>
          <t>confusion</t>
        </is>
      </c>
      <c r="C41" s="37" t="n"/>
      <c r="D41" s="37" t="n"/>
      <c r="E41" s="37" t="n"/>
      <c r="F41" s="37" t="n"/>
      <c r="K41" s="54" t="n">
        <v>-100</v>
      </c>
      <c r="Q41" s="18">
        <f>IF(SUMPRODUCT(ABS(C41:P41))=100,"ok","*** FIX ***")</f>
        <v/>
      </c>
    </row>
    <row r="42" ht="15" customHeight="1" s="19">
      <c r="A42" s="56" t="inlineStr">
        <is>
          <t>FEAR &amp; MIND</t>
        </is>
      </c>
      <c r="B42" s="57" t="inlineStr">
        <is>
          <t>panic</t>
        </is>
      </c>
      <c r="C42" s="37" t="n"/>
      <c r="D42" s="37" t="n"/>
      <c r="E42" s="37" t="n"/>
      <c r="F42" s="37" t="n"/>
      <c r="J42" s="54" t="n">
        <v>-60</v>
      </c>
      <c r="K42" s="54" t="n">
        <v>-40</v>
      </c>
      <c r="Q42" s="18">
        <f>IF(SUMPRODUCT(ABS(C42:P42))=100,"ok","*** FIX ***")</f>
        <v/>
      </c>
    </row>
    <row r="43" ht="15" customHeight="1" s="19">
      <c r="A43" s="56" t="inlineStr">
        <is>
          <t>FEAR &amp; MIND</t>
        </is>
      </c>
      <c r="B43" s="57" t="inlineStr">
        <is>
          <t>charm</t>
        </is>
      </c>
      <c r="C43" s="37" t="n"/>
      <c r="D43" s="37" t="n"/>
      <c r="E43" s="37" t="n"/>
      <c r="F43" s="37" t="n"/>
      <c r="K43" s="54" t="n">
        <v>-30</v>
      </c>
      <c r="L43" s="54" t="n">
        <v>-70</v>
      </c>
      <c r="Q43" s="18">
        <f>IF(SUMPRODUCT(ABS(C43:P43))=100,"ok","*** FIX ***")</f>
        <v/>
      </c>
    </row>
    <row r="44" ht="15" customHeight="1" s="19">
      <c r="A44" s="56" t="inlineStr">
        <is>
          <t>FEAR &amp; MIND</t>
        </is>
      </c>
      <c r="B44" s="57" t="inlineStr">
        <is>
          <t>domination</t>
        </is>
      </c>
      <c r="C44" s="37" t="n"/>
      <c r="D44" s="37" t="n"/>
      <c r="E44" s="37" t="n"/>
      <c r="F44" s="37" t="n"/>
      <c r="L44" s="54" t="n">
        <v>-100</v>
      </c>
      <c r="Q44" s="18">
        <f>IF(SUMPRODUCT(ABS(C44:P44))=100,"ok","*** FIX ***")</f>
        <v/>
      </c>
    </row>
    <row r="45" ht="15" customHeight="1" s="19">
      <c r="A45" s="56" t="inlineStr">
        <is>
          <t>FEAR &amp; MIND</t>
        </is>
      </c>
      <c r="B45" s="57" t="inlineStr">
        <is>
          <t>despair</t>
        </is>
      </c>
      <c r="C45" s="37" t="n"/>
      <c r="D45" s="37" t="n"/>
      <c r="E45" s="37" t="n"/>
      <c r="F45" s="37" t="n"/>
      <c r="J45" s="54" t="n">
        <v>-50</v>
      </c>
      <c r="L45" s="54" t="n">
        <v>-50</v>
      </c>
      <c r="Q45" s="18">
        <f>IF(SUMPRODUCT(ABS(C45:P45))=100,"ok","*** FIX ***")</f>
        <v/>
      </c>
    </row>
    <row r="46" ht="15" customHeight="1" s="19">
      <c r="A46" s="56" t="inlineStr">
        <is>
          <t>FEAR &amp; MIND</t>
        </is>
      </c>
      <c r="B46" s="57" t="inlineStr">
        <is>
          <t>compel</t>
        </is>
      </c>
      <c r="C46" s="37" t="n"/>
      <c r="D46" s="37" t="n"/>
      <c r="E46" s="37" t="n"/>
      <c r="F46" s="37" t="n"/>
      <c r="L46" s="54" t="n">
        <v>-60</v>
      </c>
      <c r="N46" s="54" t="n">
        <v>-40</v>
      </c>
      <c r="Q46" s="18">
        <f>IF(SUMPRODUCT(ABS(C46:P46))=100,"ok","*** FIX ***")</f>
        <v/>
      </c>
    </row>
    <row r="47" ht="15" customHeight="1" s="19">
      <c r="A47" s="56" t="inlineStr">
        <is>
          <t>FEAR &amp; MIND</t>
        </is>
      </c>
      <c r="B47" s="57" t="inlineStr">
        <is>
          <t>daze</t>
        </is>
      </c>
      <c r="C47" s="37" t="n"/>
      <c r="D47" s="37" t="n"/>
      <c r="E47" s="37" t="n"/>
      <c r="F47" s="37" t="n"/>
      <c r="I47" s="54" t="n">
        <v>-40</v>
      </c>
      <c r="K47" s="54" t="n">
        <v>-60</v>
      </c>
      <c r="Q47" s="18">
        <f>IF(SUMPRODUCT(ABS(C47:P47))=100,"ok","*** FIX ***")</f>
        <v/>
      </c>
    </row>
    <row r="48">
      <c r="A48" s="59" t="inlineStr">
        <is>
          <t>FEAR &amp; MIND</t>
        </is>
      </c>
      <c r="B48" s="60" t="inlineStr">
        <is>
          <t>madness</t>
        </is>
      </c>
      <c r="J48" s="54" t="n">
        <v>-50</v>
      </c>
      <c r="K48" s="54" t="n">
        <v>-50</v>
      </c>
      <c r="Q48" s="18">
        <f>IF(SUMPRODUCT(ABS(C48:P48))=100,"ok","*** FIX ***")</f>
        <v/>
      </c>
    </row>
    <row r="49">
      <c r="A49" s="59" t="inlineStr">
        <is>
          <t>FEAR &amp; MIND</t>
        </is>
      </c>
      <c r="B49" s="60" t="inlineStr">
        <is>
          <t>transfix</t>
        </is>
      </c>
      <c r="H49" s="54" t="n">
        <v>-50</v>
      </c>
      <c r="J49" s="54" t="n">
        <v>-50</v>
      </c>
      <c r="Q49" s="18">
        <f>IF(SUMPRODUCT(ABS(C49:P49))=100,"ok","*** FIX ***")</f>
        <v/>
      </c>
    </row>
    <row r="50">
      <c r="A50" s="59" t="inlineStr">
        <is>
          <t>STANDING</t>
        </is>
      </c>
      <c r="B50" s="60" t="inlineStr">
        <is>
          <t>praise</t>
        </is>
      </c>
      <c r="M50" s="61" t="n">
        <v>100</v>
      </c>
      <c r="Q50" s="18">
        <f>IF(SUMPRODUCT(ABS(C50:P50))=100,"ok","*** FIX ***")</f>
        <v/>
      </c>
    </row>
    <row r="51">
      <c r="A51" s="59" t="inlineStr">
        <is>
          <t>STANDING</t>
        </is>
      </c>
      <c r="B51" s="60" t="inlineStr">
        <is>
          <t>scorn</t>
        </is>
      </c>
      <c r="M51" s="54" t="n">
        <v>-100</v>
      </c>
      <c r="Q51" s="18">
        <f>IF(SUMPRODUCT(ABS(C51:P51))=100,"ok","*** FIX ***")</f>
        <v/>
      </c>
    </row>
    <row r="52">
      <c r="A52" s="59" t="inlineStr">
        <is>
          <t>STANDING</t>
        </is>
      </c>
      <c r="B52" s="60" t="inlineStr">
        <is>
          <t>endorse</t>
        </is>
      </c>
      <c r="N52" s="61" t="n">
        <v>100</v>
      </c>
      <c r="Q52" s="18">
        <f>IF(SUMPRODUCT(ABS(C52:P52))=100,"ok","*** FIX ***")</f>
        <v/>
      </c>
    </row>
    <row r="53">
      <c r="A53" s="59" t="inlineStr">
        <is>
          <t>STANDING</t>
        </is>
      </c>
      <c r="B53" s="60" t="inlineStr">
        <is>
          <t>discredit</t>
        </is>
      </c>
      <c r="N53" s="54" t="n">
        <v>-100</v>
      </c>
      <c r="Q53" s="18">
        <f>IF(SUMPRODUCT(ABS(C53:P53))=100,"ok","*** FIX ***")</f>
        <v/>
      </c>
    </row>
    <row r="54">
      <c r="A54" s="59" t="inlineStr">
        <is>
          <t>STANDING</t>
        </is>
      </c>
      <c r="B54" s="60" t="inlineStr">
        <is>
          <t>champion</t>
        </is>
      </c>
      <c r="M54" s="61" t="n">
        <v>60</v>
      </c>
      <c r="N54" s="61" t="n">
        <v>40</v>
      </c>
      <c r="Q54" s="18">
        <f>IF(SUMPRODUCT(ABS(C54:P54))=100,"ok","*** FIX ***")</f>
        <v/>
      </c>
    </row>
    <row r="55">
      <c r="A55" s="59" t="inlineStr">
        <is>
          <t>STANDING</t>
        </is>
      </c>
      <c r="B55" s="60" t="inlineStr">
        <is>
          <t>slander</t>
        </is>
      </c>
      <c r="M55" s="54" t="n">
        <v>-70</v>
      </c>
      <c r="N55" s="54" t="n">
        <v>-30</v>
      </c>
      <c r="Q55" s="18">
        <f>IF(SUMPRODUCT(ABS(C55:P55))=100,"ok","*** FIX ***")</f>
        <v/>
      </c>
    </row>
    <row r="56">
      <c r="A56" s="59" t="inlineStr">
        <is>
          <t>STANDING</t>
        </is>
      </c>
      <c r="B56" s="60" t="inlineStr">
        <is>
          <t>denounce</t>
        </is>
      </c>
      <c r="M56" s="54" t="n">
        <v>-20</v>
      </c>
      <c r="N56" s="54" t="n">
        <v>-80</v>
      </c>
      <c r="Q56" s="18">
        <f>IF(SUMPRODUCT(ABS(C56:P56))=100,"ok","*** FIX ***")</f>
        <v/>
      </c>
    </row>
    <row r="57">
      <c r="A57" s="59" t="inlineStr">
        <is>
          <t>STANDING</t>
        </is>
      </c>
      <c r="B57" s="60" t="inlineStr">
        <is>
          <t>humble</t>
        </is>
      </c>
      <c r="M57" s="61" t="n">
        <v>50</v>
      </c>
      <c r="N57" s="54" t="n">
        <v>-50</v>
      </c>
      <c r="Q57" s="18">
        <f>IF(SUMPRODUCT(ABS(C57:P57))=100,"ok","*** FIX ***")</f>
        <v/>
      </c>
    </row>
    <row r="58">
      <c r="A58" s="59" t="inlineStr">
        <is>
          <t>STANDING</t>
        </is>
      </c>
      <c r="B58" s="60" t="inlineStr">
        <is>
          <t>menace</t>
        </is>
      </c>
      <c r="M58" s="54" t="n">
        <v>-50</v>
      </c>
      <c r="N58" s="61" t="n">
        <v>50</v>
      </c>
      <c r="Q58" s="18">
        <f>IF(SUMPRODUCT(ABS(C58:P58))=100,"ok","*** FIX ***")</f>
        <v/>
      </c>
    </row>
    <row r="59">
      <c r="A59" s="59" t="inlineStr">
        <is>
          <t>STANDING</t>
        </is>
      </c>
      <c r="B59" s="60" t="inlineStr">
        <is>
          <t>humiliate</t>
        </is>
      </c>
      <c r="J59" s="54" t="n">
        <v>-50</v>
      </c>
      <c r="N59" s="54" t="n">
        <v>-50</v>
      </c>
      <c r="Q59" s="18">
        <f>IF(SUMPRODUCT(ABS(C59:P59))=100,"ok","*** FIX ***")</f>
        <v/>
      </c>
    </row>
    <row r="60">
      <c r="A60" s="59" t="inlineStr">
        <is>
          <t>STANDING</t>
        </is>
      </c>
      <c r="B60" s="60" t="inlineStr">
        <is>
          <t>embolden</t>
        </is>
      </c>
      <c r="J60" s="61" t="n">
        <v>60</v>
      </c>
      <c r="N60" s="61" t="n">
        <v>40</v>
      </c>
      <c r="Q60" s="18">
        <f>IF(SUMPRODUCT(ABS(C60:P60))=100,"ok","*** FIX ***")</f>
        <v/>
      </c>
    </row>
    <row r="61">
      <c r="A61" s="59" t="inlineStr">
        <is>
          <t>STANDING</t>
        </is>
      </c>
      <c r="B61" s="60" t="inlineStr">
        <is>
          <t>enthrall</t>
        </is>
      </c>
      <c r="L61" s="54" t="n">
        <v>-50</v>
      </c>
      <c r="M61" s="61" t="n">
        <v>50</v>
      </c>
      <c r="Q61" s="18">
        <f>IF(SUMPRODUCT(ABS(C61:P61))=100,"ok","*** FIX ***")</f>
        <v/>
      </c>
    </row>
    <row r="62">
      <c r="A62" s="59" t="inlineStr">
        <is>
          <t>MYSTIC</t>
        </is>
      </c>
      <c r="B62" s="60" t="inlineStr">
        <is>
          <t>enchant</t>
        </is>
      </c>
      <c r="O62" s="61" t="n">
        <v>100</v>
      </c>
      <c r="Q62" s="18">
        <f>IF(SUMPRODUCT(ABS(C62:P62))=100,"ok","*** FIX ***")</f>
        <v/>
      </c>
    </row>
    <row r="63">
      <c r="A63" s="59" t="inlineStr">
        <is>
          <t>MYSTIC</t>
        </is>
      </c>
      <c r="B63" s="60" t="inlineStr">
        <is>
          <t>dispel</t>
        </is>
      </c>
      <c r="O63" s="54" t="n">
        <v>-100</v>
      </c>
      <c r="Q63" s="18">
        <f>IF(SUMPRODUCT(ABS(C63:P63))=100,"ok","*** FIX ***")</f>
        <v/>
      </c>
    </row>
    <row r="64">
      <c r="A64" s="59" t="inlineStr">
        <is>
          <t>MYSTIC</t>
        </is>
      </c>
      <c r="B64" s="60" t="inlineStr">
        <is>
          <t>infuse</t>
        </is>
      </c>
      <c r="P64" s="61" t="n">
        <v>100</v>
      </c>
      <c r="Q64" s="18">
        <f>IF(SUMPRODUCT(ABS(C64:P64))=100,"ok","*** FIX ***")</f>
        <v/>
      </c>
    </row>
    <row r="65">
      <c r="A65" s="59" t="inlineStr">
        <is>
          <t>MYSTIC</t>
        </is>
      </c>
      <c r="B65" s="60" t="inlineStr">
        <is>
          <t>drain</t>
        </is>
      </c>
      <c r="P65" s="54" t="n">
        <v>-100</v>
      </c>
      <c r="Q65" s="18">
        <f>IF(SUMPRODUCT(ABS(C65:P65))=100,"ok","*** FIX ***")</f>
        <v/>
      </c>
    </row>
    <row r="66">
      <c r="A66" s="59" t="inlineStr">
        <is>
          <t>MYSTIC</t>
        </is>
      </c>
      <c r="B66" s="60" t="inlineStr">
        <is>
          <t>ward</t>
        </is>
      </c>
      <c r="O66" s="61" t="n">
        <v>60</v>
      </c>
      <c r="P66" s="61" t="n">
        <v>40</v>
      </c>
      <c r="Q66" s="18">
        <f>IF(SUMPRODUCT(ABS(C66:P66))=100,"ok","*** FIX ***")</f>
        <v/>
      </c>
    </row>
    <row r="67">
      <c r="A67" s="59" t="inlineStr">
        <is>
          <t>MYSTIC</t>
        </is>
      </c>
      <c r="B67" s="60" t="inlineStr">
        <is>
          <t>siphon</t>
        </is>
      </c>
      <c r="O67" s="54" t="n">
        <v>-50</v>
      </c>
      <c r="P67" s="54" t="n">
        <v>-50</v>
      </c>
      <c r="Q67" s="18">
        <f>IF(SUMPRODUCT(ABS(C67:P67))=100,"ok","*** FIX ***")</f>
        <v/>
      </c>
    </row>
    <row r="68">
      <c r="A68" s="59" t="inlineStr">
        <is>
          <t>MYSTIC</t>
        </is>
      </c>
      <c r="B68" s="60" t="inlineStr">
        <is>
          <t>bind</t>
        </is>
      </c>
      <c r="O68" s="61" t="n">
        <v>70</v>
      </c>
      <c r="P68" s="54" t="n">
        <v>-30</v>
      </c>
      <c r="Q68" s="18">
        <f>IF(SUMPRODUCT(ABS(C68:P68))=100,"ok","*** FIX ***")</f>
        <v/>
      </c>
    </row>
    <row r="69">
      <c r="A69" s="59" t="inlineStr">
        <is>
          <t>MYSTIC</t>
        </is>
      </c>
      <c r="B69" s="60" t="inlineStr">
        <is>
          <t>surge</t>
        </is>
      </c>
      <c r="O69" s="54" t="n">
        <v>-40</v>
      </c>
      <c r="P69" s="61" t="n">
        <v>60</v>
      </c>
      <c r="Q69" s="18">
        <f>IF(SUMPRODUCT(ABS(C69:P69))=100,"ok","*** FIX ***")</f>
        <v/>
      </c>
    </row>
    <row r="70">
      <c r="A70" s="59" t="inlineStr">
        <is>
          <t>MYSTIC</t>
        </is>
      </c>
      <c r="B70" s="60" t="inlineStr">
        <is>
          <t>curse</t>
        </is>
      </c>
      <c r="F70" s="54" t="n">
        <v>-30</v>
      </c>
      <c r="M70" s="54" t="n">
        <v>-30</v>
      </c>
      <c r="O70" s="61" t="n">
        <v>40</v>
      </c>
      <c r="Q70" s="18">
        <f>IF(SUMPRODUCT(ABS(C70:P70))=100,"ok","*** FIX ***")</f>
        <v/>
      </c>
    </row>
    <row r="71">
      <c r="A71" s="59" t="inlineStr">
        <is>
          <t>MYSTIC</t>
        </is>
      </c>
      <c r="B71" s="60" t="inlineStr">
        <is>
          <t>blessing</t>
        </is>
      </c>
      <c r="F71" s="61" t="n">
        <v>30</v>
      </c>
      <c r="J71" s="61" t="n">
        <v>30</v>
      </c>
      <c r="O71" s="61" t="n">
        <v>40</v>
      </c>
      <c r="Q71" s="18">
        <f>IF(SUMPRODUCT(ABS(C71:P71))=100,"ok","*** FIX ***")</f>
        <v/>
      </c>
    </row>
    <row r="72">
      <c r="A72" s="59" t="inlineStr">
        <is>
          <t>MYSTIC</t>
        </is>
      </c>
      <c r="B72" s="60" t="inlineStr">
        <is>
          <t>soulburn</t>
        </is>
      </c>
      <c r="F72" s="54" t="n">
        <v>-40</v>
      </c>
      <c r="P72" s="54" t="n">
        <v>-60</v>
      </c>
      <c r="Q72" s="18">
        <f>IF(SUMPRODUCT(ABS(C72:P72))=100,"ok","*** FIX ***")</f>
        <v/>
      </c>
    </row>
    <row r="73">
      <c r="A73" s="59" t="inlineStr">
        <is>
          <t>MYSTIC</t>
        </is>
      </c>
      <c r="B73" s="60" t="inlineStr">
        <is>
          <t>hallow</t>
        </is>
      </c>
      <c r="J73" s="61" t="n">
        <v>40</v>
      </c>
      <c r="O73" s="61" t="n">
        <v>60</v>
      </c>
      <c r="Q73" s="18">
        <f>IF(SUMPRODUCT(ABS(C73:P73))=100,"ok","*** FIX ***")</f>
        <v/>
      </c>
    </row>
    <row r="74">
      <c r="A74" s="59" t="inlineStr">
        <is>
          <t>RESTORE &amp; PROTECT</t>
        </is>
      </c>
      <c r="B74" s="60" t="inlineStr">
        <is>
          <t>mend</t>
        </is>
      </c>
      <c r="F74" s="61" t="n">
        <v>100</v>
      </c>
      <c r="Q74" s="18">
        <f>IF(SUMPRODUCT(ABS(C74:P74))=100,"ok","*** FIX ***")</f>
        <v/>
      </c>
    </row>
    <row r="75">
      <c r="A75" s="59" t="inlineStr">
        <is>
          <t>RESTORE &amp; PROTECT</t>
        </is>
      </c>
      <c r="B75" s="60" t="inlineStr">
        <is>
          <t>rally</t>
        </is>
      </c>
      <c r="G75" s="61" t="n">
        <v>100</v>
      </c>
      <c r="Q75" s="18">
        <f>IF(SUMPRODUCT(ABS(C75:P75))=100,"ok","*** FIX ***")</f>
        <v/>
      </c>
    </row>
    <row r="76">
      <c r="A76" s="59" t="inlineStr">
        <is>
          <t>RESTORE &amp; PROTECT</t>
        </is>
      </c>
      <c r="B76" s="60" t="inlineStr">
        <is>
          <t>courage</t>
        </is>
      </c>
      <c r="J76" s="61" t="n">
        <v>100</v>
      </c>
      <c r="Q76" s="18">
        <f>IF(SUMPRODUCT(ABS(C76:P76))=100,"ok","*** FIX ***")</f>
        <v/>
      </c>
    </row>
    <row r="77">
      <c r="A77" s="59" t="inlineStr">
        <is>
          <t>RESTORE &amp; PROTECT</t>
        </is>
      </c>
      <c r="B77" s="60" t="inlineStr">
        <is>
          <t>lucidity</t>
        </is>
      </c>
      <c r="K77" s="61" t="n">
        <v>100</v>
      </c>
      <c r="Q77" s="18">
        <f>IF(SUMPRODUCT(ABS(C77:P77))=100,"ok","*** FIX ***")</f>
        <v/>
      </c>
    </row>
    <row r="78">
      <c r="A78" s="59" t="inlineStr">
        <is>
          <t>RESTORE &amp; PROTECT</t>
        </is>
      </c>
      <c r="B78" s="60" t="inlineStr">
        <is>
          <t>unbind</t>
        </is>
      </c>
      <c r="L78" s="61" t="n">
        <v>100</v>
      </c>
      <c r="Q78" s="18">
        <f>IF(SUMPRODUCT(ABS(C78:P78))=100,"ok","*** FIX ***")</f>
        <v/>
      </c>
    </row>
    <row r="79">
      <c r="A79" s="59" t="inlineStr">
        <is>
          <t>RESTORE &amp; PROTECT</t>
        </is>
      </c>
      <c r="B79" s="60" t="inlineStr">
        <is>
          <t>brace</t>
        </is>
      </c>
      <c r="D79" s="61" t="n">
        <v>100</v>
      </c>
      <c r="Q79" s="18">
        <f>IF(SUMPRODUCT(ABS(C79:P79))=100,"ok","*** FIX ***")</f>
        <v/>
      </c>
    </row>
    <row r="80">
      <c r="A80" s="59" t="inlineStr">
        <is>
          <t>RESTORE &amp; PROTECT</t>
        </is>
      </c>
      <c r="B80" s="60" t="inlineStr">
        <is>
          <t>seal</t>
        </is>
      </c>
      <c r="E80" s="61" t="n">
        <v>100</v>
      </c>
      <c r="Q80" s="18">
        <f>IF(SUMPRODUCT(ABS(C80:P80))=100,"ok","*** FIX ***")</f>
        <v/>
      </c>
    </row>
    <row r="81">
      <c r="A81" s="59" t="inlineStr">
        <is>
          <t>RESTORE &amp; PROTECT</t>
        </is>
      </c>
      <c r="B81" s="60" t="inlineStr">
        <is>
          <t>haste</t>
        </is>
      </c>
      <c r="H81" s="61" t="n">
        <v>100</v>
      </c>
      <c r="Q81" s="18">
        <f>IF(SUMPRODUCT(ABS(C81:P81))=100,"ok","*** FIX ***")</f>
        <v/>
      </c>
    </row>
    <row r="82">
      <c r="A82" s="59" t="inlineStr">
        <is>
          <t>RESTORE &amp; PROTECT</t>
        </is>
      </c>
      <c r="B82" s="60" t="inlineStr">
        <is>
          <t>keen</t>
        </is>
      </c>
      <c r="I82" s="61" t="n">
        <v>100</v>
      </c>
      <c r="Q82" s="18">
        <f>IF(SUMPRODUCT(ABS(C82:P82))=100,"ok","*** FIX ***")</f>
        <v/>
      </c>
    </row>
    <row r="83">
      <c r="A83" s="59" t="inlineStr">
        <is>
          <t>RESTORE &amp; PROTECT</t>
        </is>
      </c>
      <c r="B83" s="60" t="inlineStr">
        <is>
          <t>regenerate</t>
        </is>
      </c>
      <c r="F83" s="61" t="n">
        <v>60</v>
      </c>
      <c r="G83" s="61" t="n">
        <v>40</v>
      </c>
      <c r="Q83" s="18">
        <f>IF(SUMPRODUCT(ABS(C83:P83))=100,"ok","*** FIX ***")</f>
        <v/>
      </c>
    </row>
    <row r="84">
      <c r="A84" s="59" t="inlineStr">
        <is>
          <t>RESTORE &amp; PROTECT</t>
        </is>
      </c>
      <c r="B84" s="60" t="inlineStr">
        <is>
          <t>fortify</t>
        </is>
      </c>
      <c r="D84" s="61" t="n">
        <v>60</v>
      </c>
      <c r="E84" s="61" t="n">
        <v>40</v>
      </c>
      <c r="Q84" s="18">
        <f>IF(SUMPRODUCT(ABS(C84:P84))=100,"ok","*** FIX ***")</f>
        <v/>
      </c>
    </row>
    <row r="85">
      <c r="A85" s="59" t="inlineStr">
        <is>
          <t>RESTORE &amp; PROTECT</t>
        </is>
      </c>
      <c r="B85" s="60" t="inlineStr">
        <is>
          <t>bolster</t>
        </is>
      </c>
      <c r="D85" s="61" t="n">
        <v>60</v>
      </c>
      <c r="F85" s="61" t="n">
        <v>40</v>
      </c>
      <c r="Q85" s="18">
        <f>IF(SUMPRODUCT(ABS(C85:P85))=100,"ok","*** FIX ***")</f>
        <v/>
      </c>
    </row>
    <row r="86">
      <c r="A86" s="59" t="inlineStr">
        <is>
          <t>RESTORE &amp; PROTECT</t>
        </is>
      </c>
      <c r="B86" s="60" t="inlineStr">
        <is>
          <t>preserve</t>
        </is>
      </c>
      <c r="E86" s="61" t="n">
        <v>60</v>
      </c>
      <c r="F86" s="61" t="n">
        <v>40</v>
      </c>
      <c r="Q86" s="18">
        <f>IF(SUMPRODUCT(ABS(C86:P86))=100,"ok","*** FIX ***")</f>
        <v/>
      </c>
    </row>
    <row r="87">
      <c r="A87" s="59" t="inlineStr">
        <is>
          <t>RESTORE &amp; PROTECT</t>
        </is>
      </c>
      <c r="B87" s="60" t="inlineStr">
        <is>
          <t>steady</t>
        </is>
      </c>
      <c r="J87" s="61" t="n">
        <v>50</v>
      </c>
      <c r="K87" s="61" t="n">
        <v>50</v>
      </c>
      <c r="Q87" s="18">
        <f>IF(SUMPRODUCT(ABS(C87:P87))=100,"ok","*** FIX ***")</f>
        <v/>
      </c>
    </row>
    <row r="88">
      <c r="A88" s="59" t="inlineStr">
        <is>
          <t>RESTORE &amp; PROTECT</t>
        </is>
      </c>
      <c r="B88" s="60" t="inlineStr">
        <is>
          <t>soothe</t>
        </is>
      </c>
      <c r="G88" s="61" t="n">
        <v>40</v>
      </c>
      <c r="J88" s="61" t="n">
        <v>60</v>
      </c>
      <c r="Q88" s="18">
        <f>IF(SUMPRODUCT(ABS(C88:P88))=100,"ok","*** FIX ***")</f>
        <v/>
      </c>
    </row>
    <row r="89">
      <c r="A89" s="59" t="inlineStr">
        <is>
          <t>RESTORE &amp; PROTECT</t>
        </is>
      </c>
      <c r="B89" s="60" t="inlineStr">
        <is>
          <t>sharpen</t>
        </is>
      </c>
      <c r="I89" s="61" t="n">
        <v>40</v>
      </c>
      <c r="K89" s="61" t="n">
        <v>60</v>
      </c>
      <c r="Q89" s="18">
        <f>IF(SUMPRODUCT(ABS(C89:P89))=100,"ok","*** FIX ***")</f>
        <v/>
      </c>
    </row>
    <row r="90">
      <c r="A90" s="59" t="inlineStr">
        <is>
          <t>RESTORE &amp; PROTECT</t>
        </is>
      </c>
      <c r="B90" s="60" t="inlineStr">
        <is>
          <t>vigilance</t>
        </is>
      </c>
      <c r="I90" s="61" t="n">
        <v>60</v>
      </c>
      <c r="K90" s="61" t="n">
        <v>40</v>
      </c>
      <c r="Q90" s="18">
        <f>IF(SUMPRODUCT(ABS(C90:P90))=100,"ok","*** FIX ***")</f>
        <v/>
      </c>
    </row>
    <row r="91">
      <c r="A91" s="59" t="inlineStr">
        <is>
          <t>RESTORE &amp; PROTECT</t>
        </is>
      </c>
      <c r="B91" s="60" t="inlineStr">
        <is>
          <t>quicken</t>
        </is>
      </c>
      <c r="H91" s="61" t="n">
        <v>60</v>
      </c>
      <c r="I91" s="61" t="n">
        <v>40</v>
      </c>
      <c r="Q91" s="18">
        <f>IF(SUMPRODUCT(ABS(C91:P91))=100,"ok","*** FIX ***")</f>
        <v/>
      </c>
    </row>
    <row r="92">
      <c r="A92" s="59" t="inlineStr">
        <is>
          <t>RESTORE &amp; PROTECT</t>
        </is>
      </c>
      <c r="B92" s="60" t="inlineStr">
        <is>
          <t>steel</t>
        </is>
      </c>
      <c r="J92" s="61" t="n">
        <v>50</v>
      </c>
      <c r="L92" s="61" t="n">
        <v>50</v>
      </c>
      <c r="Q92" s="18">
        <f>IF(SUMPRODUCT(ABS(C92:P92))=100,"ok","*** FIX ***")</f>
        <v/>
      </c>
    </row>
    <row r="93">
      <c r="A93" s="59" t="inlineStr">
        <is>
          <t>RESTORE &amp; PROTECT</t>
        </is>
      </c>
      <c r="B93" s="60" t="inlineStr">
        <is>
          <t>freedom</t>
        </is>
      </c>
      <c r="H93" s="61" t="n">
        <v>60</v>
      </c>
      <c r="L93" s="61" t="n">
        <v>40</v>
      </c>
      <c r="Q93" s="18">
        <f>IF(SUMPRODUCT(ABS(C93:P93))=100,"ok","*** FIX ***")</f>
        <v/>
      </c>
    </row>
    <row r="94">
      <c r="A94" s="59" t="inlineStr">
        <is>
          <t>RESTORE &amp; PROTECT</t>
        </is>
      </c>
      <c r="B94" s="60" t="inlineStr">
        <is>
          <t>cleanse</t>
        </is>
      </c>
      <c r="F94" s="61" t="n">
        <v>50</v>
      </c>
      <c r="O94" s="54" t="n">
        <v>-50</v>
      </c>
      <c r="Q94" s="18">
        <f>IF(SUMPRODUCT(ABS(C94:P94))=100,"ok","*** FIX ***")</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F47"/>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8" min="1" max="1"/>
    <col width="40" customWidth="1" style="18" min="2" max="2"/>
    <col width="30" customWidth="1" style="18" min="3" max="3"/>
    <col width="24" customWidth="1" style="18" min="4" max="4"/>
    <col width="34" customWidth="1" style="18" min="5" max="5"/>
  </cols>
  <sheetData>
    <row r="1" ht="17.35" customHeight="1" s="19">
      <c r="A1" s="20" t="inlineStr">
        <is>
          <t>L24 · Guard presets</t>
        </is>
      </c>
    </row>
    <row r="2" ht="15" customHeight="1" s="19">
      <c r="A2" s="29" t="inlineStr">
        <is>
          <t>PENDING</t>
        </is>
      </c>
    </row>
    <row r="3" ht="30" customHeight="1" s="19">
      <c r="A3" s="21" t="inlineStr">
        <is>
          <t>Named Guard configurations. Resistance and immunity are presets, not separate mechanisms.</t>
        </is>
      </c>
    </row>
    <row r="4" ht="30" customHeight="1" s="19">
      <c r="A4" s="32" t="inlineStr">
        <is>
          <t>NOW FILLABLE — L22 and L23 settled the axes and the two Guard forms. FLAT acts once per contributing source at R-850, on the packet total WITHIN A SPACE, redistributed. PROPORTIONAL acts once on the combined total at R-1050. Named acts before universal. A universal flat Guard may never be negative.</t>
        </is>
      </c>
    </row>
    <row r="6" ht="15" customHeight="1" s="19">
      <c r="A6" s="33" t="inlineStr">
        <is>
          <t>Preset</t>
        </is>
      </c>
      <c r="B6" s="33" t="inlineStr">
        <is>
          <t>Form</t>
        </is>
      </c>
      <c r="C6" s="33" t="inlineStr">
        <is>
          <t>Polarity</t>
        </is>
      </c>
      <c r="D6" s="33" t="inlineStr">
        <is>
          <t>Value</t>
        </is>
      </c>
      <c r="E6" s="33" t="inlineStr">
        <is>
          <t>What it reads as in play</t>
        </is>
      </c>
    </row>
    <row r="7" ht="15" customHeight="1" s="19">
      <c r="A7" s="34" t="inlineStr">
        <is>
          <t>fire immunity</t>
        </is>
      </c>
      <c r="B7" s="34" t="inlineStr">
        <is>
          <t>proportional</t>
        </is>
      </c>
      <c r="C7" s="34" t="inlineStr">
        <is>
          <t>thermal-positive</t>
        </is>
      </c>
      <c r="D7" s="34" t="inlineStr">
        <is>
          <t>100%</t>
        </is>
      </c>
      <c r="E7" s="34" t="inlineStr">
        <is>
          <t>Shrugs off heat, still feels cold</t>
        </is>
      </c>
      <c r="F7" s="35" t="inlineStr">
        <is>
          <t>← example, not data</t>
        </is>
      </c>
    </row>
    <row r="8" ht="15" customHeight="1" s="19">
      <c r="A8" s="36" t="inlineStr">
        <is>
          <t>plate armour</t>
        </is>
      </c>
      <c r="B8" s="36" t="inlineStr">
        <is>
          <t>flat, Dimension-named</t>
        </is>
      </c>
      <c r="C8" s="36" t="inlineStr">
        <is>
          <t>unpolarised</t>
        </is>
      </c>
      <c r="D8" s="36" t="inlineStr">
        <is>
          <t>integrity 3</t>
        </is>
      </c>
      <c r="E8" s="36" t="inlineStr">
        <is>
          <t>stops the first 3 of any blow, per attacker</t>
        </is>
      </c>
    </row>
    <row r="9" ht="15" customHeight="1" s="19">
      <c r="A9" s="36" t="inlineStr">
        <is>
          <t>heavy plate</t>
        </is>
      </c>
      <c r="B9" s="36" t="inlineStr">
        <is>
          <t>flat, Dimension-named</t>
        </is>
      </c>
      <c r="C9" s="36" t="inlineStr">
        <is>
          <t>unpolarised</t>
        </is>
      </c>
      <c r="D9" s="36" t="inlineStr">
        <is>
          <t>integrity 6</t>
        </is>
      </c>
      <c r="E9" s="36" t="inlineStr">
        <is>
          <t>and it is heavy — pair with a mobility penalty</t>
        </is>
      </c>
    </row>
    <row r="10" ht="15" customHeight="1" s="19">
      <c r="A10" s="36" t="inlineStr">
        <is>
          <t>padded</t>
        </is>
      </c>
      <c r="B10" s="36" t="inlineStr">
        <is>
          <t>flat, universal within physical</t>
        </is>
      </c>
      <c r="C10" s="36" t="inlineStr">
        <is>
          <t>unpolarised</t>
        </is>
      </c>
      <c r="D10" s="36" t="inlineStr">
        <is>
          <t>3</t>
        </is>
      </c>
      <c r="E10" s="36" t="inlineStr">
        <is>
          <t>stops the first 3 of ANY physical packet, including mixed ones</t>
        </is>
      </c>
    </row>
    <row r="11" ht="15" customHeight="1" s="19">
      <c r="A11" s="36" t="inlineStr">
        <is>
          <t>stone hide</t>
        </is>
      </c>
      <c r="B11" s="36" t="inlineStr">
        <is>
          <t>proportional</t>
        </is>
      </c>
      <c r="C11" s="36" t="inlineStr">
        <is>
          <t>unpolarised</t>
        </is>
      </c>
      <c r="D11" s="36" t="inlineStr">
        <is>
          <t>integrity 50%</t>
        </is>
      </c>
      <c r="E11" s="36" t="inlineStr">
        <is>
          <t>half of whatever force is left at the end</t>
        </is>
      </c>
    </row>
    <row r="12" ht="15" customHeight="1" s="19">
      <c r="A12" s="36" t="inlineStr">
        <is>
          <t>fire elemental</t>
        </is>
      </c>
      <c r="B12" s="36" t="inlineStr">
        <is>
          <t>proportional</t>
        </is>
      </c>
      <c r="C12" s="36" t="inlineStr">
        <is>
          <t>POLARISED temperature-positive</t>
        </is>
      </c>
      <c r="D12" s="36" t="inlineStr">
        <is>
          <t>100%</t>
        </is>
      </c>
      <c r="E12" s="36" t="inlineStr">
        <is>
          <t>shrugs off heat, still feels cold. The reference case</t>
        </is>
      </c>
    </row>
    <row r="13" ht="15" customHeight="1" s="19">
      <c r="A13" s="36" t="inlineStr">
        <is>
          <t>acid-etched</t>
        </is>
      </c>
      <c r="B13" s="36" t="inlineStr">
        <is>
          <t>proportional</t>
        </is>
      </c>
      <c r="C13" s="36" t="inlineStr">
        <is>
          <t>POLARISED substance-negative</t>
        </is>
      </c>
      <c r="D13" s="36" t="inlineStr">
        <is>
          <t>−50%</t>
        </is>
      </c>
      <c r="E13" s="36" t="inlineStr">
        <is>
          <t>a VULNERABILITY — takes 150%. Same mechanism, other sign</t>
        </is>
      </c>
    </row>
    <row r="14" ht="15" customHeight="1" s="19">
      <c r="A14" s="36" t="inlineStr">
        <is>
          <t>iron will</t>
        </is>
      </c>
      <c r="B14" s="36" t="inlineStr">
        <is>
          <t>flat, universal within mental</t>
        </is>
      </c>
      <c r="C14" s="36" t="inlineStr">
        <is>
          <t>unpolarised</t>
        </is>
      </c>
      <c r="D14" s="36" t="inlineStr">
        <is>
          <t>3</t>
        </is>
      </c>
      <c r="E14" s="36" t="inlineStr">
        <is>
          <t>the mental equivalent of armour. This is what makes mental Guards a real category</t>
        </is>
      </c>
    </row>
    <row r="15" ht="15" customHeight="1" s="19">
      <c r="A15" s="36" t="inlineStr">
        <is>
          <t>warded</t>
        </is>
      </c>
      <c r="B15" s="36" t="inlineStr">
        <is>
          <t>proportional</t>
        </is>
      </c>
      <c r="C15" s="36" t="inlineStr">
        <is>
          <t>unpolarised</t>
        </is>
      </c>
      <c r="D15" s="36" t="inlineStr">
        <is>
          <t>working 50%</t>
        </is>
      </c>
      <c r="E15" s="36" t="inlineStr">
        <is>
          <t>half of any working that reaches you</t>
        </is>
      </c>
    </row>
    <row r="16" ht="15" customHeight="1" s="19">
      <c r="A16" s="36" t="inlineStr">
        <is>
          <t>mindless</t>
        </is>
      </c>
      <c r="B16" s="36" t="inlineStr">
        <is>
          <t>proportional</t>
        </is>
      </c>
      <c r="C16" s="36" t="inlineStr">
        <is>
          <t>unpolarised</t>
        </is>
      </c>
      <c r="D16" s="36" t="inlineStr">
        <is>
          <t>composure 100% / clarity 100% / will 100%</t>
        </is>
      </c>
      <c r="E16" s="36" t="inlineStr">
        <is>
          <t>a construct. Immunity by having no mind at all</t>
        </is>
      </c>
    </row>
    <row r="17" ht="15" customHeight="1" s="19">
      <c r="A17" s="36" t="inlineStr"/>
      <c r="B17" s="36" t="inlineStr"/>
      <c r="C17" s="36" t="inlineStr"/>
      <c r="D17" s="36" t="inlineStr"/>
      <c r="E17" s="36" t="inlineStr"/>
    </row>
    <row r="18" ht="15" customHeight="1" s="19">
      <c r="A18" s="36" t="inlineStr">
        <is>
          <t>REMEMBER: a Guard reduces toward zero and never past it. A universal flat Guard is universal WITHIN A SPACE — armour must not blunt a hallucination.</t>
        </is>
      </c>
      <c r="B18" s="36" t="inlineStr"/>
      <c r="C18" s="36" t="inlineStr"/>
      <c r="D18" s="36" t="inlineStr"/>
      <c r="E18" s="36" t="inlineStr"/>
    </row>
    <row r="19" ht="15" customHeight="1" s="19">
      <c r="A19" s="37" t="n"/>
      <c r="B19" s="37" t="n"/>
      <c r="C19" s="37" t="n"/>
      <c r="D19" s="37" t="n"/>
      <c r="E19" s="37" t="n"/>
    </row>
    <row r="20" ht="15" customHeight="1" s="19">
      <c r="A20" s="37" t="n"/>
      <c r="B20" s="37" t="n"/>
      <c r="C20" s="37" t="n"/>
      <c r="D20" s="37" t="n"/>
      <c r="E20" s="37" t="n"/>
    </row>
    <row r="21" ht="15" customHeight="1" s="19">
      <c r="A21" s="37" t="n"/>
      <c r="B21" s="37" t="n"/>
      <c r="C21" s="37" t="n"/>
      <c r="D21" s="37" t="n"/>
      <c r="E21" s="37" t="n"/>
    </row>
    <row r="22" ht="15" customHeight="1" s="19">
      <c r="A22" s="37" t="n"/>
      <c r="B22" s="37" t="n"/>
      <c r="C22" s="37" t="n"/>
      <c r="D22" s="37" t="n"/>
      <c r="E22" s="37" t="n"/>
    </row>
    <row r="23" ht="15" customHeight="1" s="19">
      <c r="A23" s="37" t="n"/>
      <c r="B23" s="37" t="n"/>
      <c r="C23" s="37" t="n"/>
      <c r="D23" s="37" t="n"/>
      <c r="E23" s="37" t="n"/>
    </row>
    <row r="24" ht="15" customHeight="1" s="19">
      <c r="A24" s="37" t="n"/>
      <c r="B24" s="37" t="n"/>
      <c r="C24" s="37" t="n"/>
      <c r="D24" s="37" t="n"/>
      <c r="E24" s="37" t="n"/>
    </row>
    <row r="25" ht="15" customHeight="1" s="19">
      <c r="A25" s="37" t="n"/>
      <c r="B25" s="37" t="n"/>
      <c r="C25" s="37" t="n"/>
      <c r="D25" s="37" t="n"/>
      <c r="E25" s="37" t="n"/>
    </row>
    <row r="26" ht="15" customHeight="1" s="19">
      <c r="A26" s="37" t="n"/>
      <c r="B26" s="37" t="n"/>
      <c r="C26" s="37" t="n"/>
      <c r="D26" s="37" t="n"/>
      <c r="E26" s="37" t="n"/>
    </row>
    <row r="27" ht="15" customHeight="1" s="19">
      <c r="A27" s="37" t="n"/>
      <c r="B27" s="37" t="n"/>
      <c r="C27" s="37" t="n"/>
      <c r="D27" s="37" t="n"/>
      <c r="E27" s="37" t="n"/>
    </row>
    <row r="28" ht="15" customHeight="1" s="19">
      <c r="A28" s="37" t="n"/>
      <c r="B28" s="37" t="n"/>
      <c r="C28" s="37" t="n"/>
      <c r="D28" s="37" t="n"/>
      <c r="E28" s="37" t="n"/>
    </row>
    <row r="29" ht="15" customHeight="1" s="19">
      <c r="A29" s="37" t="n"/>
      <c r="B29" s="37" t="n"/>
      <c r="C29" s="37" t="n"/>
      <c r="D29" s="37" t="n"/>
      <c r="E29" s="37" t="n"/>
    </row>
    <row r="30" ht="15" customHeight="1" s="19">
      <c r="A30" s="37" t="n"/>
      <c r="B30" s="37" t="n"/>
      <c r="C30" s="37" t="n"/>
      <c r="D30" s="37" t="n"/>
      <c r="E30" s="37" t="n"/>
    </row>
    <row r="31" ht="15" customHeight="1" s="19">
      <c r="A31" s="37" t="n"/>
      <c r="B31" s="37" t="n"/>
      <c r="C31" s="37" t="n"/>
      <c r="D31" s="37" t="n"/>
      <c r="E31" s="37" t="n"/>
    </row>
    <row r="32" ht="15" customHeight="1" s="19">
      <c r="A32" s="37" t="n"/>
      <c r="B32" s="37" t="n"/>
      <c r="C32" s="37" t="n"/>
      <c r="D32" s="37" t="n"/>
      <c r="E32" s="37" t="n"/>
    </row>
    <row r="33" ht="15" customHeight="1" s="19">
      <c r="A33" s="37" t="n"/>
      <c r="B33" s="37" t="n"/>
      <c r="C33" s="37" t="n"/>
      <c r="D33" s="37" t="n"/>
      <c r="E33" s="37" t="n"/>
    </row>
    <row r="34" ht="15" customHeight="1" s="19">
      <c r="A34" s="37" t="n"/>
      <c r="B34" s="37" t="n"/>
      <c r="C34" s="37" t="n"/>
      <c r="D34" s="37" t="n"/>
      <c r="E34" s="37" t="n"/>
    </row>
    <row r="35" ht="15" customHeight="1" s="19">
      <c r="A35" s="37" t="n"/>
      <c r="B35" s="37" t="n"/>
      <c r="C35" s="37" t="n"/>
      <c r="D35" s="37" t="n"/>
      <c r="E35" s="37" t="n"/>
    </row>
    <row r="36" ht="15" customHeight="1" s="19">
      <c r="A36" s="37" t="n"/>
      <c r="B36" s="37" t="n"/>
      <c r="C36" s="37" t="n"/>
      <c r="D36" s="37" t="n"/>
      <c r="E36" s="37" t="n"/>
    </row>
    <row r="37" ht="15" customHeight="1" s="19">
      <c r="A37" s="37" t="n"/>
      <c r="B37" s="37" t="n"/>
      <c r="C37" s="37" t="n"/>
      <c r="D37" s="37" t="n"/>
      <c r="E37" s="37" t="n"/>
    </row>
    <row r="38" ht="15" customHeight="1" s="19">
      <c r="A38" s="37" t="n"/>
      <c r="B38" s="37" t="n"/>
      <c r="C38" s="37" t="n"/>
      <c r="D38" s="37" t="n"/>
      <c r="E38" s="37" t="n"/>
    </row>
    <row r="39" ht="15" customHeight="1" s="19">
      <c r="A39" s="37" t="n"/>
      <c r="B39" s="37" t="n"/>
      <c r="C39" s="37" t="n"/>
      <c r="D39" s="37" t="n"/>
      <c r="E39" s="37" t="n"/>
    </row>
    <row r="40" ht="15" customHeight="1" s="19">
      <c r="A40" s="37" t="n"/>
      <c r="B40" s="37" t="n"/>
      <c r="C40" s="37" t="n"/>
      <c r="D40" s="37" t="n"/>
      <c r="E40" s="37" t="n"/>
    </row>
    <row r="41" ht="15" customHeight="1" s="19">
      <c r="A41" s="37" t="n"/>
      <c r="B41" s="37" t="n"/>
      <c r="C41" s="37" t="n"/>
      <c r="D41" s="37" t="n"/>
      <c r="E41" s="37" t="n"/>
    </row>
    <row r="42" ht="15" customHeight="1" s="19">
      <c r="A42" s="37" t="n"/>
      <c r="B42" s="37" t="n"/>
      <c r="C42" s="37" t="n"/>
      <c r="D42" s="37" t="n"/>
      <c r="E42" s="37" t="n"/>
    </row>
    <row r="43" ht="15" customHeight="1" s="19">
      <c r="A43" s="37" t="n"/>
      <c r="B43" s="37" t="n"/>
      <c r="C43" s="37" t="n"/>
      <c r="D43" s="37" t="n"/>
      <c r="E43" s="37" t="n"/>
    </row>
    <row r="44" ht="15" customHeight="1" s="19">
      <c r="A44" s="37" t="n"/>
      <c r="B44" s="37" t="n"/>
      <c r="C44" s="37" t="n"/>
      <c r="D44" s="37" t="n"/>
      <c r="E44" s="37" t="n"/>
    </row>
    <row r="45" ht="15" customHeight="1" s="19">
      <c r="A45" s="37" t="n"/>
      <c r="B45" s="37" t="n"/>
      <c r="C45" s="37" t="n"/>
      <c r="D45" s="37" t="n"/>
      <c r="E45" s="37" t="n"/>
    </row>
    <row r="46" ht="15" customHeight="1" s="19">
      <c r="A46" s="37" t="n"/>
      <c r="B46" s="37" t="n"/>
      <c r="C46" s="37" t="n"/>
      <c r="D46" s="37" t="n"/>
      <c r="E46" s="37" t="n"/>
    </row>
    <row r="47" ht="15" customHeight="1" s="19">
      <c r="A47" s="37" t="n"/>
      <c r="B47" s="37" t="n"/>
      <c r="C47" s="37" t="n"/>
      <c r="D47" s="37" t="n"/>
      <c r="E47" s="3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outlinePr summaryBelow="1" summaryRight="1"/>
    <pageSetUpPr/>
  </sheetPr>
  <dimension ref="A1:F28"/>
  <sheetViews>
    <sheetView workbookViewId="0">
      <pane ySplit="6" topLeftCell="A7" activePane="bottomLeft" state="frozen"/>
      <selection pane="bottomLeft" activeCell="A1" sqref="A1"/>
    </sheetView>
  </sheetViews>
  <sheetFormatPr baseColWidth="8" defaultRowHeight="15"/>
  <cols>
    <col width="24" customWidth="1" style="19" min="1" max="1"/>
    <col width="32" customWidth="1" style="19" min="2" max="2"/>
    <col width="40" customWidth="1" style="19" min="3" max="3"/>
    <col width="42" customWidth="1" style="19" min="4" max="4"/>
    <col width="66" customWidth="1" style="19" min="5" max="5"/>
  </cols>
  <sheetData>
    <row r="1">
      <c r="A1" s="63" t="inlineStr">
        <is>
          <t>L25 · Transient-to-Persistent conversions</t>
        </is>
      </c>
    </row>
    <row r="2">
      <c r="A2" s="64" t="inlineStr">
        <is>
          <t>PENDING · BLOCKING · research-seeded Aug 2026</t>
        </is>
      </c>
    </row>
    <row r="3">
      <c r="A3" s="65" t="inlineStr">
        <is>
          <t>What a vector that survives Guards actually does. This IS the Landing Socket Vocabulary. Fourteen rows, one per non-attempt Dimension.</t>
        </is>
      </c>
    </row>
    <row r="4">
      <c r="A4" s="66" t="inlineStr">
        <is>
          <t>THE UNIVERSAL ARCHITECTURE IS BUFFER → CONVERT → NAME. Fate, Blades, Lancer, Delta Green, Mouse Guard all do it. So Landing is a PIPELINE SHAPE, not one step — and the buffer belongs to the Component, never the Substrate.</t>
        </is>
      </c>
    </row>
    <row r="6">
      <c r="A6" s="67" t="inlineStr">
        <is>
          <t>Dimension</t>
        </is>
      </c>
      <c r="B6" s="67" t="inlineStr">
        <is>
          <t>Proposed landing model</t>
        </is>
      </c>
      <c r="C6" s="67" t="inlineStr">
        <is>
          <t>What it means</t>
        </is>
      </c>
      <c r="D6" s="67" t="inlineStr">
        <is>
          <t>Precedent</t>
        </is>
      </c>
      <c r="E6" s="67" t="inlineStr">
        <is>
          <t>Notes and hazards</t>
        </is>
      </c>
    </row>
    <row r="7">
      <c r="A7" s="68" t="inlineStr">
        <is>
          <t>hit points</t>
        </is>
      </c>
      <c r="B7" s="68" t="inlineStr">
        <is>
          <t>L1 deplete a pool</t>
        </is>
      </c>
      <c r="C7" s="68" t="inlineStr">
        <is>
          <t>subtract and check zero</t>
        </is>
      </c>
      <c r="D7" s="68" t="inlineStr">
        <is>
          <t>D&amp;D</t>
        </is>
      </c>
      <c r="E7" s="68" t="inlineStr">
        <is>
          <t>NOT assumed. The Substrate ships no Resources; a Setting may legitimately have none. Masks and Mouse Guard are shipping proof.</t>
        </is>
      </c>
      <c r="F7" s="69" t="inlineStr">
        <is>
          <t>← example, not data</t>
        </is>
      </c>
    </row>
    <row r="8">
      <c r="A8" s="70" t="inlineStr">
        <is>
          <t>temperature (bipolar)</t>
        </is>
      </c>
      <c r="B8" s="70" t="inlineStr">
        <is>
          <t>L11 bank + L6 convert</t>
        </is>
      </c>
      <c r="C8" s="70" t="inlineStr">
        <is>
          <t>Accumulate a signed heat value; discharge at a bar</t>
        </is>
      </c>
      <c r="D8" s="70" t="inlineStr">
        <is>
          <t>Lancer Heat · WFRP Ablaze · Rolemaster Heat/Cold tables</t>
        </is>
      </c>
      <c r="E8" s="70" t="inlineStr">
        <is>
          <t>BIPOLAR needs TWO bars, one per sign. No complete precedent exists — Lancer only implements the hot end.</t>
        </is>
      </c>
    </row>
    <row r="9">
      <c r="A9" s="70" t="inlineStr">
        <is>
          <t>integrity</t>
        </is>
      </c>
      <c r="B9" s="70" t="inlineStr">
        <is>
          <t>L1 pool + L6 convert at zero</t>
        </is>
      </c>
      <c r="C9" s="70" t="inlineStr">
        <is>
          <t>Pool is a DISPOSABLE buffer; its only durable effect is the conversion</t>
        </is>
      </c>
      <c r="D9" s="70" t="inlineStr">
        <is>
          <t>Lancer HP→Structure (HP resets to full) · Mörk Borg 0 HP→d4 Broken</t>
        </is>
      </c>
      <c r="E9" s="70" t="inlineStr">
        <is>
          <t>The buffer is not durable state and should not survive a Moment as a Facet.</t>
        </is>
      </c>
    </row>
    <row r="10">
      <c r="A10" s="70" t="inlineStr">
        <is>
          <t>substance</t>
        </is>
      </c>
      <c r="B10" s="70" t="inlineStr">
        <is>
          <t>L8 permanent scalar edit</t>
        </is>
      </c>
      <c r="C10" s="70" t="inlineStr">
        <is>
          <t>Matter removed is matter gone; no recovery without an explicit Verb</t>
        </is>
      </c>
      <c r="D10" s="70" t="inlineStr">
        <is>
          <t>Twilight 2000 attribute loss · GURPS DR degradation</t>
        </is>
      </c>
      <c r="E10" s="70" t="inlineStr">
        <is>
          <t>Needs an explicit restoration path — L8 has no natural inverse.</t>
        </is>
      </c>
    </row>
    <row r="11">
      <c r="A11" s="70" t="inlineStr">
        <is>
          <t>vitality</t>
        </is>
      </c>
      <c r="B11" s="70" t="inlineStr">
        <is>
          <t>L3 bar → named condition, read HIGHEST</t>
        </is>
      </c>
      <c r="C11" s="70" t="inlineStr">
        <is>
          <t>A single blow's magnitude, not the sum, decides the wound</t>
        </is>
      </c>
      <c r="D11" s="70" t="inlineStr">
        <is>
          <t>GURPS major wound (&gt;HP/2) · Mythras Serious/Major · Ars Magica</t>
        </is>
      </c>
      <c r="E11" s="70" t="inlineStr">
        <is>
          <t>Reading HIGHEST *is* the all-in incentive. Pair with a residue accumulator or small hits are worthless.</t>
        </is>
      </c>
    </row>
    <row r="12">
      <c r="A12" s="70" t="inlineStr">
        <is>
          <t>vigor</t>
        </is>
      </c>
      <c r="B12" s="70" t="inlineStr">
        <is>
          <t>L2 track, non-linear boxes</t>
        </is>
      </c>
      <c r="C12" s="70" t="inlineStr">
        <is>
          <t>Fatigue is the archetypal graded track</t>
        </is>
      </c>
      <c r="D12" s="70" t="inlineStr">
        <is>
          <t>5e exhaustion · GURPS FP · Ars Magica Fatigue</t>
        </is>
      </c>
      <c r="E12" s="70" t="inlineStr">
        <is>
          <t>Non-linear box counts per severity stop minor harm accumulating at the same rate as major.</t>
        </is>
      </c>
    </row>
    <row r="13">
      <c r="A13" s="70" t="inlineStr">
        <is>
          <t>mobility</t>
        </is>
      </c>
      <c r="B13" s="70" t="inlineStr">
        <is>
          <t>L3 bar → condition, exclusive within an axis</t>
        </is>
      </c>
      <c r="C13" s="70" t="inlineStr">
        <is>
          <t>Below the bar, nothing</t>
        </is>
      </c>
      <c r="D13" s="70" t="inlineStr">
        <is>
          <t>WFRP Prone/Entangled · Lancer Immobilized/Slowed</t>
        </is>
      </c>
      <c r="E13" s="70" t="inlineStr">
        <is>
          <t>Nothing in the field uses an ablative pool for a CAPABILITY axis — 4 of 7 movement is meaningless.</t>
        </is>
      </c>
    </row>
    <row r="14">
      <c r="A14" s="70" t="inlineStr">
        <is>
          <t>acuity</t>
        </is>
      </c>
      <c r="B14" s="70" t="inlineStr">
        <is>
          <t>L3 bar → named condition</t>
        </is>
      </c>
      <c r="C14" s="70" t="inlineStr">
        <is>
          <t>Optionally L7 table to pick which sense</t>
        </is>
      </c>
      <c r="D14" s="70" t="inlineStr">
        <is>
          <t>WFRP Blinded/Deafened · GURPS stunning</t>
        </is>
      </c>
      <c r="E14" s="70" t="inlineStr">
        <is>
          <t>Same capability-axis argument as mobility.</t>
        </is>
      </c>
    </row>
    <row r="15">
      <c r="A15" s="70" t="inlineStr">
        <is>
          <t>composure</t>
        </is>
      </c>
      <c r="B15" s="70" t="inlineStr">
        <is>
          <t>L0 buffer + L6 convert at the cap</t>
        </is>
      </c>
      <c r="C15" s="70" t="inlineStr">
        <is>
          <t>An evaporating in-scene buffer, then a named durable thing</t>
        </is>
      </c>
      <c r="D15" s="70" t="inlineStr">
        <is>
          <t>Blades stress 0–9 → Trauma · Fate mental stress → consequence</t>
        </is>
      </c>
      <c r="E15" s="70" t="inlineStr">
        <is>
          <t>The buffer belongs to the Landing Component, never the Substrate.</t>
        </is>
      </c>
    </row>
    <row r="16">
      <c r="A16" s="70" t="inlineStr">
        <is>
          <t>clarity</t>
        </is>
      </c>
      <c r="B16" s="70" t="inlineStr">
        <is>
          <t>L3 MOVING bar + L7 table draw</t>
        </is>
      </c>
      <c r="C16" s="70" t="inlineStr">
        <is>
          <t>The bar itself moves after each crossing</t>
        </is>
      </c>
      <c r="D16" s="70" t="inlineStr">
        <is>
          <t>Delta Green Breaking Point (resets to new SAN − POW) · CoC</t>
        </is>
      </c>
      <c r="E16" s="70" t="inlineStr">
        <is>
          <t>A MOVING bar is the best mechanism found for having thresholds without the all-in incentive.</t>
        </is>
      </c>
    </row>
    <row r="17">
      <c r="A17" s="70" t="inlineStr">
        <is>
          <t>will</t>
        </is>
      </c>
      <c r="B17" s="70" t="inlineStr">
        <is>
          <t>L9 HARDEN + L3 bar</t>
        </is>
      </c>
      <c r="C17" s="70" t="inlineStr">
        <is>
          <t>Resisting notches you toward immunity; failing notches you toward collapse</t>
        </is>
      </c>
      <c r="D17" s="70" t="inlineStr">
        <is>
          <t>Unknown Armies hardened/failed notches · DG Adaptation</t>
        </is>
      </c>
      <c r="E17" s="70" t="inlineStr">
        <is>
          <t>The mental block wants a two-signed axis the physical block does not. No physical system makes you harder to injure by injuring you; every serious mental system does.</t>
        </is>
      </c>
    </row>
    <row r="18">
      <c r="A18" s="70" t="inlineStr">
        <is>
          <t>regard</t>
        </is>
      </c>
      <c r="B18" s="70" t="inlineStr">
        <is>
          <t>L10 land on a CONNECTION</t>
        </is>
      </c>
      <c r="C18" s="70" t="inlineStr">
        <is>
          <t>Never on the target Entity. Adjusts the HOLDER's stance, per participant</t>
        </is>
      </c>
      <c r="D18" s="70" t="inlineStr">
        <is>
          <t>Exalted 3e Intimacies · Delta Green Bonds</t>
        </is>
      </c>
      <c r="E18" s="70" t="inlineStr">
        <is>
          <t>Exalted: nothing is possible without exploiting an Intimacy. Landing must be able to REJECT a packet for lack of a Connection — and the rejection must be a Record, not a silent drop.</t>
        </is>
      </c>
    </row>
    <row r="19">
      <c r="A19" s="70" t="inlineStr">
        <is>
          <t>standing</t>
        </is>
      </c>
      <c r="B19" s="70" t="inlineStr">
        <is>
          <t>L11 bank and discharge</t>
        </is>
      </c>
      <c r="C19" s="70" t="inlineStr">
        <is>
          <t>Accumulate; convert at a bar into a discrete level; carry the remainder</t>
        </is>
      </c>
      <c r="D19" s="70" t="inlineStr">
        <is>
          <t>Ars Magica Reputation (10 pts = +1 level) · Blades Heat→Wanted</t>
        </is>
      </c>
      <c r="E19" s="70" t="inlineStr">
        <is>
          <t>Ars Magica: a bad reputation is eroded only by growing a good one, never by subtraction.</t>
        </is>
      </c>
    </row>
    <row r="20">
      <c r="A20" s="70" t="inlineStr">
        <is>
          <t>working (bipolar)</t>
        </is>
      </c>
      <c r="B20" s="70" t="inlineStr">
        <is>
          <t>L11 bank, discharge at BOTH bars</t>
        </is>
      </c>
      <c r="C20" s="70" t="inlineStr">
        <is>
          <t>Two bars, one per sign</t>
        </is>
      </c>
      <c r="D20" s="70" t="inlineStr">
        <is>
          <t>Lancer Heat (one end only) · Ars Magica Twilight · Mage Paradox</t>
        </is>
      </c>
      <c r="E20" s="70" t="inlineStr">
        <is>
          <t>No complete precedent. Expect to invent here.</t>
        </is>
      </c>
    </row>
    <row r="21">
      <c r="A21" s="70" t="inlineStr">
        <is>
          <t>essence</t>
        </is>
      </c>
      <c r="B21" s="70" t="inlineStr">
        <is>
          <t>L8 + L3 at zero</t>
        </is>
      </c>
      <c r="C21" s="70" t="inlineStr">
        <is>
          <t>The axis you never get back</t>
        </is>
      </c>
      <c r="D21" s="70" t="inlineStr">
        <is>
          <t>Ars Magica Warping · Vampire Humanity · DG POW loss</t>
        </is>
      </c>
      <c r="E21" s="70" t="inlineStr">
        <is>
          <t>Needs an explicit restoration path.</t>
        </is>
      </c>
    </row>
    <row r="23">
      <c r="A23" s="70" t="inlineStr">
        <is>
          <t>ELEVEN MODELS EXIST (see lists-research.md §4): L0 evaporate · L1 pool · L2 track · L3 bar→condition · L4 phrase in a graded slot · L5 clock · L6 convert to another axis · L7 table draw · L8 scalar edit · L9 harden · L10 land on a Relationship · L11 bank and discharge.</t>
        </is>
      </c>
    </row>
    <row r="25">
      <c r="A25" s="71" t="inlineStr">
        <is>
          <t>CONSIDERED AND REJECTED</t>
        </is>
      </c>
    </row>
    <row r="26">
      <c r="A26" s="72" t="inlineStr">
        <is>
          <t>ONE AXIS, TWO MODELS BY MAGNITUDE</t>
        </is>
      </c>
      <c r="B26" s="72" t="inlineStr"/>
      <c r="C26" s="72" t="inlineStr"/>
      <c r="D26" s="72" t="inlineStr"/>
      <c r="E26" s="72" t="inlineStr">
        <is>
          <t>THE HAZARD TO DECIDE. If vitality lands as a pool below a bar and a condition above it, the answer depends on HOW the total was assembled — which the packet no longer knows. Either Landing reads only the packet (one contributor-reading per Dimension) or it must be handed the contributor list, which is a SUBSTRATE FINDING. Lancer has an open issue on exactly this.</t>
        </is>
      </c>
    </row>
    <row r="27">
      <c r="A27" s="72" t="inlineStr">
        <is>
          <t>assume health</t>
        </is>
      </c>
      <c r="B27" s="72" t="inlineStr"/>
      <c r="C27" s="72" t="inlineStr"/>
      <c r="D27" s="72" t="inlineStr"/>
      <c r="E27" s="72" t="inlineStr">
        <is>
          <t>REJECT: the Substrate ships no Resources. Health is one answer among several.</t>
        </is>
      </c>
    </row>
    <row r="28">
      <c r="A28" s="72" t="inlineStr">
        <is>
          <t>freeform phrase for everything</t>
        </is>
      </c>
      <c r="B28" s="72" t="inlineStr"/>
      <c r="C28" s="72" t="inlineStr"/>
      <c r="D28" s="72" t="inlineStr">
        <is>
          <t>Blades harm</t>
        </is>
      </c>
      <c r="E28" s="72" t="inlineStr">
        <is>
          <t>ARGUE: L4 is not machine-readable, so the Fold cannot reason about "Broken Leg". A phrase-returning Landing needs a Person Decider (rule 21); a table-returning one can be Auto.</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26"/>
  <sheetViews>
    <sheetView workbookViewId="0">
      <pane ySplit="6" topLeftCell="A7" activePane="bottomLeft" state="frozen"/>
      <selection pane="bottomLeft" activeCell="A1" sqref="A1"/>
    </sheetView>
  </sheetViews>
  <sheetFormatPr baseColWidth="8" defaultRowHeight="15"/>
  <cols>
    <col width="40" customWidth="1" style="19" min="1" max="1"/>
    <col width="44" customWidth="1" style="19" min="2" max="2"/>
    <col width="16" customWidth="1" style="19" min="3" max="3"/>
    <col width="80" customWidth="1" style="19" min="4" max="4"/>
  </cols>
  <sheetData>
    <row r="1">
      <c r="A1" s="63" t="inlineStr">
        <is>
          <t>L26 · Listener condition forms</t>
        </is>
      </c>
    </row>
    <row r="2">
      <c r="A2" s="64" t="inlineStr">
        <is>
          <t>PENDING · research-seeded Aug 2026</t>
        </is>
      </c>
    </row>
    <row r="3">
      <c r="A3" s="65" t="inlineStr">
        <is>
          <t>The closed set of things a Listener may watch. STATE, NEVER VERBS — "is this now true", never "did that just happen". Declared as data, evaluated at R-1400, produces Verbs pinned to a LATER Moment.</t>
        </is>
      </c>
    </row>
    <row r="4">
      <c r="A4" s="66" t="inlineStr">
        <is>
          <t>MAGIC'S STATE-BASED ACTIONS ARE THE PROOF THIS WORKS AT SCALE. Rule 704.4: they "pay no attention to what happens during the resolution of a spell or ability" — a creature whose toughness dips to 0 mid-resolution and recovers SURVIVES. Only the state at the check point exists.</t>
        </is>
      </c>
    </row>
    <row r="6">
      <c r="A6" s="67" t="inlineStr">
        <is>
          <t>Condition form</t>
        </is>
      </c>
      <c r="B6" s="67" t="inlineStr">
        <is>
          <t>Example</t>
        </is>
      </c>
      <c r="C6" s="67" t="inlineStr">
        <is>
          <t>Confidence</t>
        </is>
      </c>
      <c r="D6" s="67" t="inlineStr">
        <is>
          <t>Notes</t>
        </is>
      </c>
    </row>
    <row r="7">
      <c r="A7" s="68" t="inlineStr">
        <is>
          <t>a Verb was just used</t>
        </is>
      </c>
      <c r="B7" s="68" t="inlineStr">
        <is>
          <t>"whenever someone attacks"</t>
        </is>
      </c>
      <c r="C7" s="68" t="inlineStr">
        <is>
          <t>—</t>
        </is>
      </c>
      <c r="D7" s="68" t="inlineStr">
        <is>
          <t>NOT a form. Listeners watch state. This is what the Resolution-Record form is for.</t>
        </is>
      </c>
      <c r="E7" s="69" t="inlineStr">
        <is>
          <t>← example, not data</t>
        </is>
      </c>
    </row>
    <row r="8">
      <c r="A8" s="70" t="inlineStr">
        <is>
          <t>a value crosses a bar</t>
        </is>
      </c>
      <c r="B8" s="70" t="inlineStr">
        <is>
          <t>vitality Resource ≤ 0</t>
        </is>
      </c>
      <c r="C8" s="70" t="inlineStr">
        <is>
          <t>HIGH</t>
        </is>
      </c>
      <c r="D8" s="70" t="inlineStr">
        <is>
          <t>The workhorse. MTG state-based actions are almost entirely this.</t>
        </is>
      </c>
    </row>
    <row r="9">
      <c r="A9" s="70" t="inlineStr">
        <is>
          <t>a value compares to another value</t>
        </is>
      </c>
      <c r="B9" s="70" t="inlineStr">
        <is>
          <t>my standing &lt; theirs</t>
        </is>
      </c>
      <c r="C9" s="70" t="inlineStr">
        <is>
          <t>HIGH</t>
        </is>
      </c>
      <c r="D9" s="70" t="inlineStr"/>
    </row>
    <row r="10">
      <c r="A10" s="70" t="inlineStr">
        <is>
          <t>an Entity holds a State</t>
        </is>
      </c>
      <c r="B10" s="70" t="inlineStr">
        <is>
          <t>is prone</t>
        </is>
      </c>
      <c r="C10" s="70" t="inlineStr">
        <is>
          <t>HIGH</t>
        </is>
      </c>
      <c r="D10" s="70" t="inlineStr"/>
    </row>
    <row r="11">
      <c r="A11" s="70" t="inlineStr">
        <is>
          <t>an Entity holds a Tag (optionally magnitude ≥ N)</t>
        </is>
      </c>
      <c r="B11" s="70" t="inlineStr">
        <is>
          <t>has Flammable · has Hardness ≥ 3</t>
        </is>
      </c>
      <c r="C11" s="70" t="inlineStr">
        <is>
          <t>HIGH</t>
        </is>
      </c>
      <c r="D11" s="70" t="inlineStr">
        <is>
          <t>Reads membership only. Must never be read as "this modifier applies" — that is the Righteous Fire failure.</t>
        </is>
      </c>
    </row>
    <row r="12">
      <c r="A12" s="70" t="inlineStr">
        <is>
          <t>a set is non-empty, or has size N</t>
        </is>
      </c>
      <c r="B12" s="70" t="inlineStr">
        <is>
          <t>hostiles within reach ≥ 3</t>
        </is>
      </c>
      <c r="C12" s="70" t="inlineStr">
        <is>
          <t>MEDIUM</t>
        </is>
      </c>
      <c r="D12" s="70" t="inlineStr">
        <is>
          <t>Depends on Place for "within reach".</t>
        </is>
      </c>
    </row>
    <row r="13">
      <c r="A13" s="70" t="inlineStr">
        <is>
          <t>a Resolution Record exists matching a shape</t>
        </is>
      </c>
      <c r="B13" s="70" t="inlineStr">
        <is>
          <t>my vitality was restored by a source that is not me</t>
        </is>
      </c>
      <c r="C13" s="70" t="inlineStr">
        <is>
          <t>HIGH</t>
        </is>
      </c>
      <c r="D13" s="70" t="inlineStr">
        <is>
          <t>How reflection and retribution work without watching events. It IS state — the Record is a durable fact in the Ledger. Also the ONLY way to express "when you are healed by another", which is a real authoring need.</t>
        </is>
      </c>
    </row>
    <row r="14">
      <c r="A14" s="70" t="inlineStr">
        <is>
          <t>a Moment of a named kind has occurred</t>
        </is>
      </c>
      <c r="B14" s="70" t="inlineStr">
        <is>
          <t>start of my turn</t>
        </is>
      </c>
      <c r="C14" s="70" t="inlineStr">
        <is>
          <t>HIGH</t>
        </is>
      </c>
      <c r="D14" s="70" t="inlineStr">
        <is>
          <t>Depends on L32.</t>
        </is>
      </c>
    </row>
    <row r="16">
      <c r="A16" s="70" t="inlineStr">
        <is>
          <t>THREE BLANKS THAT MUST BE FILLED HERE, NOT LATER — and research now proposes all three. (1) DEPTH LIMIT: 32. (2) AT THE LIMIT: halt without applying, and WRITE A RECORD. (3) ORDER: (class, layer, component_id, listener_id, target_entity_id).</t>
        </is>
      </c>
    </row>
    <row r="18">
      <c r="A18" s="71" t="inlineStr">
        <is>
          <t>CONSIDERED AND REJECTED</t>
        </is>
      </c>
    </row>
    <row r="19">
      <c r="A19" s="72" t="inlineStr">
        <is>
          <t>depth limit: none, run to a fixpoint</t>
        </is>
      </c>
      <c r="B19" s="72" t="inlineStr"/>
      <c r="C19" s="72" t="inlineStr"/>
      <c r="D19" s="72" t="inlineStr">
        <is>
          <t>REJECT. MTG does this — it runs SBAs to a fixpoint and handles genuine loops with a SOCIAL rule (the game is a draw). We have no table to appeal to, so we need the counter MTG does not.</t>
        </is>
      </c>
    </row>
    <row r="20">
      <c r="A20" s="72" t="inlineStr">
        <is>
          <t>depth limit: 32</t>
        </is>
      </c>
      <c r="B20" s="72" t="inlineStr"/>
      <c r="C20" s="72" t="inlineStr">
        <is>
          <t>PROPOSED</t>
        </is>
      </c>
      <c r="D20" s="72" t="inlineStr">
        <is>
          <t>SQL Server nested triggers settled on 32 twenty years ago and nobody has argued with it. High enough that no legitimate design reaches it, low enough to catch a runaway in milliseconds.</t>
        </is>
      </c>
    </row>
    <row r="21">
      <c r="A21" s="72" t="inlineStr">
        <is>
          <t>at the limit: roll back</t>
        </is>
      </c>
      <c r="B21" s="72" t="inlineStr"/>
      <c r="C21" s="72" t="inlineStr"/>
      <c r="D21" s="72" t="inlineStr">
        <is>
          <t>REJECT: the Ledger is append-only. Rolling back is not available.</t>
        </is>
      </c>
    </row>
    <row r="22">
      <c r="A22" s="72" t="inlineStr">
        <is>
          <t>at the limit: silently drop</t>
        </is>
      </c>
      <c r="B22" s="72" t="inlineStr"/>
      <c r="C22" s="72" t="inlineStr"/>
      <c r="D22" s="72" t="inlineStr">
        <is>
          <t>REJECT: invisible. Hearthstone does this and it is a known source of unexplainable board states.</t>
        </is>
      </c>
    </row>
    <row r="23">
      <c r="A23" s="72" t="inlineStr">
        <is>
          <t>at the limit: halt without applying, write a Record</t>
        </is>
      </c>
      <c r="B23" s="72" t="inlineStr"/>
      <c r="C23" s="72" t="inlineStr">
        <is>
          <t>PROPOSED</t>
        </is>
      </c>
      <c r="D23" s="72" t="inlineStr">
        <is>
          <t>Makes it a debuggable finding rather than a mystery. The honest version of "if you can violate it silently, the gate is missing."</t>
        </is>
      </c>
    </row>
    <row r="24">
      <c r="A24" s="72" t="inlineStr">
        <is>
          <t>ordering by a global priority number</t>
        </is>
      </c>
      <c r="B24" s="72" t="inlineStr"/>
      <c r="C24" s="72" t="inlineStr"/>
      <c r="D24" s="72" t="inlineStr">
        <is>
          <t>REJECT. Drools salience is deterministic but NOT STABLE under rule-set edits — adding one rule changes the order of unrelated rules. Our sort key must be composed only of values that do not move when unrelated content is added.</t>
        </is>
      </c>
    </row>
    <row r="25">
      <c r="A25" s="72" t="inlineStr">
        <is>
          <t>ordering: semantic class first, then the stable key</t>
        </is>
      </c>
      <c r="B25" s="72" t="inlineStr"/>
      <c r="C25" s="72" t="inlineStr">
        <is>
          <t>PROPOSED</t>
        </is>
      </c>
      <c r="D25" s="72" t="inlineStr">
        <is>
          <t>Yu-Gi-Oh SEGOC is the only fully specified simultaneous-trigger ordering in any game, and its structure is a priority CLASSIFICATION first, then a declared tiebreak. Ours is currently layer-first; the finding is that the first key should be semantic.</t>
        </is>
      </c>
    </row>
    <row r="26">
      <c r="A26" s="72" t="inlineStr">
        <is>
          <t>registration order</t>
        </is>
      </c>
      <c r="B26" s="72" t="inlineStr"/>
      <c r="C26" s="72" t="inlineStr"/>
      <c r="D26" s="72" t="inlineStr">
        <is>
          <t>REJECT: get it wrong and the same Ledger folds differently on two machines.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8"/>
  <sheetViews>
    <sheetView workbookViewId="0">
      <pane ySplit="6" topLeftCell="A7" activePane="bottomLeft" state="frozen"/>
      <selection pane="bottomLeft" activeCell="A1" sqref="A1"/>
    </sheetView>
  </sheetViews>
  <sheetFormatPr baseColWidth="8" defaultRowHeight="15"/>
  <cols>
    <col width="22" customWidth="1" style="19" min="1" max="1"/>
    <col width="42" customWidth="1" style="19" min="2" max="2"/>
    <col width="32" customWidth="1" style="19" min="3" max="3"/>
    <col width="34" customWidth="1" style="19" min="4" max="4"/>
    <col width="60" customWidth="1" style="19" min="5" max="5"/>
  </cols>
  <sheetData>
    <row r="1">
      <c r="A1" s="63" t="inlineStr">
        <is>
          <t>L27 · Sockets</t>
        </is>
      </c>
    </row>
    <row r="2">
      <c r="A2" s="64" t="inlineStr">
        <is>
          <t>PENDING · BLOCKING · three, Aug 2026</t>
        </is>
      </c>
    </row>
    <row r="3">
      <c r="A3" s="65" t="inlineStr">
        <is>
          <t>Holes the Substrate declares and cannot fill. Exactly one occupant each, never zero, never two. A Bundle with an empty Socket must fail to load.</t>
        </is>
      </c>
    </row>
    <row r="4">
      <c r="A4" s="66" t="inlineStr">
        <is>
          <t>THREE. Time and Budget moved into the Substrate in Aug 2026. Occupants are FROZEN PER SETTING — changing one makes a different Setting.</t>
        </is>
      </c>
    </row>
    <row r="6">
      <c r="A6" s="67" t="inlineStr">
        <is>
          <t>Socket</t>
        </is>
      </c>
      <c r="B6" s="67" t="inlineStr">
        <is>
          <t>Vocabulary it publishes (Substrate)</t>
        </is>
      </c>
      <c r="C6" s="67" t="inlineStr">
        <is>
          <t>Behaviour it owns (occupant)</t>
        </is>
      </c>
      <c r="D6" s="67" t="inlineStr">
        <is>
          <t>Without it</t>
        </is>
      </c>
      <c r="E6" s="67" t="inlineStr">
        <is>
          <t>Notes</t>
        </is>
      </c>
    </row>
    <row r="7">
      <c r="A7" s="68" t="inlineStr">
        <is>
          <t>Time</t>
        </is>
      </c>
      <c r="B7" s="68" t="inlineStr">
        <is>
          <t>Moment kinds: start of turn, end of round</t>
        </is>
      </c>
      <c r="C7" s="68" t="inlineStr">
        <is>
          <t>Which Moments exist, order, participant set</t>
        </is>
      </c>
      <c r="D7" s="68" t="inlineStr">
        <is>
          <t>Nothing can be pinned</t>
        </is>
      </c>
      <c r="E7" s="68" t="inlineStr">
        <is>
          <t>RETIRED as a Socket — now Substrate. Kept here as the worked example of the shape.</t>
        </is>
      </c>
      <c r="F7" s="69" t="inlineStr">
        <is>
          <t>← example, not data</t>
        </is>
      </c>
    </row>
    <row r="8">
      <c r="A8" s="70" t="inlineStr">
        <is>
          <t>Place</t>
        </is>
      </c>
      <c r="B8" s="70" t="inlineStr">
        <is>
          <t>How position and scope are named: here, near, within, containment. What Scale means for a part of a whole.</t>
        </is>
      </c>
      <c r="C8" s="70" t="inlineStr">
        <is>
          <t>What a place is and how distance works</t>
        </is>
      </c>
      <c r="D8" s="70" t="inlineStr">
        <is>
          <t>Nothing has a location, so nothing can be area-scoped, and nothing knows the door belongs to the ship</t>
        </is>
      </c>
      <c r="E8" s="70" t="inlineStr">
        <is>
          <t>SETTLED as a Socket. Not because distances differ — because a game about insects, a game about galaxies, one where everyone teleports and one in a 5-dimensional astral sea are not one game with different numbers.</t>
        </is>
      </c>
    </row>
    <row r="9">
      <c r="A9" s="70" t="inlineStr">
        <is>
          <t>Resolution</t>
        </is>
      </c>
      <c r="B9" s="70" t="inlineStr">
        <is>
          <t>That an attempt returns a signed magnitude, AND the distribution it is drawn from</t>
        </is>
      </c>
      <c r="C9" s="70" t="inlineStr">
        <is>
          <t>How the magnitude is produced — dice, cards, deck, auction</t>
        </is>
      </c>
      <c r="D9" s="70" t="inlineStr">
        <is>
          <t>No attempt produces a number</t>
        </is>
      </c>
      <c r="E9" s="70" t="inlineStr">
        <is>
          <t>May be ONE occupant with dials. Dials pinned at Setting creation, never toggled live, or the fold stops being reproducible. The published-distribution clause is decidable now (rule 19) even though the formula is open.</t>
        </is>
      </c>
    </row>
    <row r="10">
      <c r="A10" s="70" t="inlineStr">
        <is>
          <t>Landing</t>
        </is>
      </c>
      <c r="B10" s="70" t="inlineStr">
        <is>
          <t>What persistent state each Dimension may address (= L25, fourteen rows)</t>
        </is>
      </c>
      <c r="C10" s="70" t="inlineStr">
        <is>
          <t>How a landed vector becomes persistent state</t>
        </is>
      </c>
      <c r="D10" s="70" t="inlineStr">
        <is>
          <t>Vectors arrive and nothing happens</t>
        </is>
      </c>
      <c r="E10" s="70" t="inlineStr">
        <is>
          <t>Research (lists-research.md §4) says this is a PIPELINE, not one step: buffer -&gt; convert -&gt; name. The buffer belongs to the occupant and is never durable.</t>
        </is>
      </c>
    </row>
    <row r="12">
      <c r="A12" s="70" t="inlineStr">
        <is>
          <t>THREE IS THE TARGET AND THE CEILING. Every Socket is a permanent dependency for every Component ever written AND a hole in the documentation. A capability belongs here only if the Substrate cannot function without it AND freezing one answer would make a whole class of Setting impossible.</t>
        </is>
      </c>
    </row>
    <row r="14">
      <c r="A14" s="71" t="inlineStr">
        <is>
          <t>CONSIDERED AND REJECTED</t>
        </is>
      </c>
    </row>
    <row r="15">
      <c r="A15" s="72" t="inlineStr">
        <is>
          <t>Time</t>
        </is>
      </c>
      <c r="B15" s="72" t="inlineStr"/>
      <c r="C15" s="72" t="inlineStr"/>
      <c r="D15" s="72" t="inlineStr"/>
      <c r="E15" s="72" t="inlineStr">
        <is>
          <t>RETIRED Aug 2026 -&gt; Substrate. A Socket is a hole in the explanation, not just the code; every worked example had to caveat itself. Coarser clocks are Components, added alongside.</t>
        </is>
      </c>
    </row>
    <row r="16">
      <c r="A16" s="72" t="inlineStr">
        <is>
          <t>Budget</t>
        </is>
      </c>
      <c r="B16" s="72" t="inlineStr"/>
      <c r="C16" s="72" t="inlineStr"/>
      <c r="D16" s="72" t="inlineStr"/>
      <c r="E16" s="72" t="inlineStr">
        <is>
          <t>RETIRED Aug 2026 -&gt; Substrate (doubloon + cost shape). Allowance is base Ruleset.</t>
        </is>
      </c>
    </row>
    <row r="17">
      <c r="A17" s="72" t="inlineStr">
        <is>
          <t>Progression</t>
        </is>
      </c>
      <c r="B17" s="72" t="inlineStr"/>
      <c r="C17" s="72" t="inlineStr"/>
      <c r="D17" s="72" t="inlineStr"/>
      <c r="E17" s="72" t="inlineStr">
        <is>
          <t>REJECT: an ordinary Component. The Substrate runs fine with no advancement at all.</t>
        </is>
      </c>
    </row>
    <row r="18">
      <c r="A18" s="72" t="inlineStr">
        <is>
          <t>Inventory</t>
        </is>
      </c>
      <c r="B18" s="72" t="inlineStr"/>
      <c r="C18" s="72" t="inlineStr"/>
      <c r="D18" s="72" t="inlineStr"/>
      <c r="E18" s="72" t="inlineStr">
        <is>
          <t>REJECT: Entities and Relationships already express carrying.</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24"/>
  <sheetViews>
    <sheetView workbookViewId="0">
      <pane ySplit="6" topLeftCell="A7" activePane="bottomLeft" state="frozen"/>
      <selection pane="bottomLeft" activeCell="A1" sqref="A1"/>
    </sheetView>
  </sheetViews>
  <sheetFormatPr baseColWidth="8" defaultRowHeight="15"/>
  <cols>
    <col width="22" customWidth="1" style="19" min="1" max="1"/>
    <col width="38" customWidth="1" style="19" min="2" max="2"/>
    <col width="20" customWidth="1" style="19" min="3" max="3"/>
    <col width="46" customWidth="1" style="19" min="4" max="4"/>
    <col width="54" customWidth="1" style="19" min="5" max="5"/>
  </cols>
  <sheetData>
    <row r="1">
      <c r="A1" s="63" t="inlineStr">
        <is>
          <t>L28 · Economy</t>
        </is>
      </c>
    </row>
    <row r="2">
      <c r="A2" s="64" t="inlineStr">
        <is>
          <t>SETTLED IN PRINCIPLE · Aug 2026</t>
        </is>
      </c>
    </row>
    <row r="3">
      <c r="A3" s="65" t="inlineStr">
        <is>
          <t>The atomic unit a cost is denominated in, and the shape of a cost. Substrate, because every ability ever written depends on both.</t>
        </is>
      </c>
    </row>
    <row r="4">
      <c r="A4" s="66" t="inlineStr">
        <is>
          <t>ONE UNIT. NO DENOMINATIONS. NOTHING EVER DIVIDES. If a second unit is ever added it is NEVER convertible with the first.</t>
        </is>
      </c>
    </row>
    <row r="6">
      <c r="A6" s="67" t="inlineStr">
        <is>
          <t>Item</t>
        </is>
      </c>
      <c r="B6" s="67" t="inlineStr">
        <is>
          <t>Decision</t>
        </is>
      </c>
      <c r="C6" s="67" t="inlineStr">
        <is>
          <t>Status</t>
        </is>
      </c>
      <c r="D6" s="67" t="inlineStr">
        <is>
          <t>Why</t>
        </is>
      </c>
      <c r="E6" s="67" t="inlineStr">
        <is>
          <t>Notes</t>
        </is>
      </c>
    </row>
    <row r="7">
      <c r="A7" s="68" t="inlineStr">
        <is>
          <t>gold</t>
        </is>
      </c>
      <c r="B7" s="68" t="inlineStr">
        <is>
          <t>currency</t>
        </is>
      </c>
      <c r="C7" s="68" t="inlineStr">
        <is>
          <t>—</t>
        </is>
      </c>
      <c r="D7" s="68" t="inlineStr">
        <is>
          <t>—</t>
        </is>
      </c>
      <c r="E7" s="68" t="inlineStr">
        <is>
          <t>NOT this list. Money is a Resource in a Component.</t>
        </is>
      </c>
      <c r="F7" s="69" t="inlineStr">
        <is>
          <t>← example, not data</t>
        </is>
      </c>
    </row>
    <row r="8">
      <c r="A8" s="70" t="inlineStr">
        <is>
          <t>doubloon</t>
        </is>
      </c>
      <c r="B8" s="70" t="inlineStr">
        <is>
          <t>The one atomic Economy Unit. Integer, 64-bit.</t>
        </is>
      </c>
      <c r="C8" s="70" t="inlineStr">
        <is>
          <t>SETTLED</t>
        </is>
      </c>
      <c r="D8" s="70" t="inlineStr">
        <is>
          <t>Content is authored and folded in doubloons. Width chosen deliberately too wide — a currency range is as permanent as its meaning.</t>
        </is>
      </c>
      <c r="E8" s="70" t="inlineStr">
        <is>
          <t>Working name. Renaming is free later: one Substrate word, no arithmetic attached.</t>
        </is>
      </c>
    </row>
    <row r="9">
      <c r="A9" s="70" t="inlineStr">
        <is>
          <t>denomination ladder</t>
        </is>
      </c>
      <c r="B9" s="70" t="inlineStr">
        <is>
          <t>CUT — no action / quick / free rungs</t>
        </is>
      </c>
      <c r="C9" s="70" t="inlineStr">
        <is>
          <t>SETTLED</t>
        </is>
      </c>
      <c r="D9" s="70" t="inlineStr">
        <is>
          <t>A size vocabulary beside a timing vocabulary made authoring roundabout. "reaction" is a WHEN; "action" is a HOW MUCH.</t>
        </is>
      </c>
      <c r="E9" s="70" t="inlineStr">
        <is>
          <t>The word "action" may not exist in the game at all. Fusing size and timing is what produced bonus action, which its designer publicly disowned.</t>
        </is>
      </c>
    </row>
    <row r="10">
      <c r="A10" s="70" t="inlineStr">
        <is>
          <t>cost (field)</t>
        </is>
      </c>
      <c r="B10" s="70" t="inlineStr">
        <is>
          <t>A whole number of doubloons</t>
        </is>
      </c>
      <c r="C10" s="70" t="inlineStr">
        <is>
          <t>SETTLED</t>
        </is>
      </c>
      <c r="D10" s="70" t="inlineStr">
        <is>
          <t>How much it takes out of you.</t>
        </is>
      </c>
      <c r="E10" s="70" t="inlineStr">
        <is>
          <t>max(price)/allowance must stay well below 1 — see L28 notes.</t>
        </is>
      </c>
    </row>
    <row r="11">
      <c r="A11" s="70" t="inlineStr">
        <is>
          <t>timing (field)</t>
        </is>
      </c>
      <c r="B11" s="70" t="inlineStr">
        <is>
          <t>A named member of the closed set — see L31</t>
        </is>
      </c>
      <c r="C11" s="70" t="inlineStr">
        <is>
          <t>SETTLED</t>
        </is>
      </c>
      <c r="D11" s="70" t="inlineStr">
        <is>
          <t>When you may pay.</t>
        </is>
      </c>
      <c r="E11" s="70" t="inlineStr">
        <is>
          <t>Orthogonal to cost. A 10-doubloon reaction and a 40-doubloon reaction are both reactions.</t>
        </is>
      </c>
    </row>
    <row r="12">
      <c r="A12" s="70" t="inlineStr">
        <is>
          <t>cap (field)</t>
        </is>
      </c>
      <c r="B12" s="70" t="inlineStr">
        <is>
          <t>How often, per Moment or per round</t>
        </is>
      </c>
      <c r="C12" s="70" t="inlineStr">
        <is>
          <t>SETTLED, optional</t>
        </is>
      </c>
      <c r="D12" s="70" t="inlineStr">
        <is>
          <t>Keeps frequency out of the timing name.</t>
        </is>
      </c>
      <c r="E12" s="70" t="inlineStr">
        <is>
          <t>Usually absent. More fields expected — this is the floor, not the ceiling.</t>
        </is>
      </c>
    </row>
    <row r="13">
      <c r="A13" s="70" t="inlineStr">
        <is>
          <t>spend modes</t>
        </is>
      </c>
      <c r="B13" s="70" t="inlineStr">
        <is>
          <t>spent · committed</t>
        </is>
      </c>
      <c r="C13" s="70" t="inlineStr">
        <is>
          <t>PROPOSED</t>
        </is>
      </c>
      <c r="D13" s="70" t="inlineStr">
        <is>
          <t>Shape, not meaning, so Substrate. A repin must know whether a committed cost can be re-paid.</t>
        </is>
      </c>
      <c r="E13" s="70" t="inlineStr">
        <is>
          <t>Was three (spent/reserved/held); reserved and held collapsed.</t>
        </is>
      </c>
    </row>
    <row r="14">
      <c r="A14" s="70" t="inlineStr">
        <is>
          <t>allowance</t>
        </is>
      </c>
      <c r="B14" s="70" t="inlineStr">
        <is>
          <t>How many doubloons per turn</t>
        </is>
      </c>
      <c r="C14" s="70" t="inlineStr">
        <is>
          <t>OPEN — base Ruleset</t>
        </is>
      </c>
      <c r="D14" s="70" t="inlineStr">
        <is>
          <t>A playtest number. Freezing it forever is a needless permanent bet.</t>
        </is>
      </c>
      <c r="E14" s="70" t="inlineStr">
        <is>
          <t>THAT an allowance exists and refreshes is Substrate; how big is not.</t>
        </is>
      </c>
    </row>
    <row r="15">
      <c r="A15" s="70" t="inlineStr">
        <is>
          <t>second unit</t>
        </is>
      </c>
      <c r="B15" s="70" t="inlineStr">
        <is>
          <t>None for now</t>
        </is>
      </c>
      <c r="C15" s="70" t="inlineStr">
        <is>
          <t>OPEN</t>
        </is>
      </c>
      <c r="D15" s="70" t="inlineStr">
        <is>
          <t>Adding one later is free under additive-only. Adding one you do not need is permanent weight.</t>
        </is>
      </c>
      <c r="E15" s="70" t="inlineStr">
        <is>
          <t>If added: never convertible. Rate disagreement in an economy is a money printer, not a display bug.</t>
        </is>
      </c>
    </row>
    <row r="17">
      <c r="A17" s="70" t="inlineStr">
        <is>
          <t>THE ATOM MAY BE FINE; THE PUBLISHED PRICE LIST MUST STAY SHORT. Every fine-grained action currency that failed (Exalted ticks, Rolemaster percentages, X-COM Time Units) failed on the price list, not the atom. Feng Shui has one price. PF2e: almost everything costs one.</t>
        </is>
      </c>
    </row>
    <row r="19">
      <c r="A19" s="71" t="inlineStr">
        <is>
          <t>CONSIDERED AND REJECTED</t>
        </is>
      </c>
    </row>
    <row r="20">
      <c r="A20" s="72" t="inlineStr">
        <is>
          <t>reaction</t>
        </is>
      </c>
      <c r="B20" s="72" t="inlineStr">
        <is>
          <t>Not a unit and not a size</t>
        </is>
      </c>
      <c r="C20" s="72" t="inlineStr">
        <is>
          <t>REJECTED</t>
        </is>
      </c>
      <c r="D20" s="72" t="inlineStr">
        <is>
          <t>It is a TIMING — doubloons spent during a Moment you do not own.</t>
        </is>
      </c>
      <c r="E20" s="72" t="inlineStr">
        <is>
          <t>That is why a 10-doubloon and a 40-doubloon reaction are both reactions.</t>
        </is>
      </c>
    </row>
    <row r="21">
      <c r="A21" s="72" t="inlineStr">
        <is>
          <t>attention</t>
        </is>
      </c>
      <c r="B21" s="72" t="inlineStr">
        <is>
          <t>Not a unit</t>
        </is>
      </c>
      <c r="C21" s="72" t="inlineStr">
        <is>
          <t>REJECTED</t>
        </is>
      </c>
      <c r="D21" s="72" t="inlineStr">
        <is>
          <t>It is doubloons in the committed spend mode. Concentration is effort you spent that stays spent.</t>
        </is>
      </c>
      <c r="E21" s="72" t="inlineStr"/>
    </row>
    <row r="22">
      <c r="A22" s="72" t="inlineStr">
        <is>
          <t>strain</t>
        </is>
      </c>
      <c r="B22" s="72" t="inlineStr">
        <is>
          <t>Not a unit</t>
        </is>
      </c>
      <c r="C22" s="72" t="inlineStr">
        <is>
          <t>REJECTED</t>
        </is>
      </c>
      <c r="D22" s="72" t="inlineStr">
        <is>
          <t>It accumulates rather than being spent, which makes it a Resource. Exhaustion is already a vigor push plus a Resource.</t>
        </is>
      </c>
      <c r="E22" s="72" t="inlineStr"/>
    </row>
    <row r="23">
      <c r="A23" s="72" t="inlineStr">
        <is>
          <t>bonus action</t>
        </is>
      </c>
      <c r="B23" s="72" t="inlineStr">
        <is>
          <t>Not a unit</t>
        </is>
      </c>
      <c r="C23" s="72" t="inlineStr">
        <is>
          <t>REJECTED</t>
        </is>
      </c>
      <c r="D23" s="72" t="inlineStr">
        <is>
          <t>A rule about how many, not a kind of thing spent.</t>
        </is>
      </c>
      <c r="E23" s="72" t="inlineStr"/>
    </row>
    <row r="24">
      <c r="A24" s="72" t="inlineStr">
        <is>
          <t>movement</t>
        </is>
      </c>
      <c r="B24" s="72" t="inlineStr">
        <is>
          <t>Not a unit</t>
        </is>
      </c>
      <c r="C24" s="72" t="inlineStr">
        <is>
          <t>REJECTED</t>
        </is>
      </c>
      <c r="D24" s="72" t="inlineStr">
        <is>
          <t>Doubloons spent on moving. If it is not, that is Place business.</t>
        </is>
      </c>
      <c r="E24" s="72" t="inlineStr"/>
    </row>
  </sheetData>
  <pageMargins left="0.75" right="0.75" top="1" bottom="1" header="0.5" footer="0.5"/>
</worksheet>
</file>

<file path=xl/worksheets/sheet25.xml><?xml version="1.0" encoding="utf-8"?>
<worksheet xmlns="http://schemas.openxmlformats.org/spreadsheetml/2006/main">
  <sheetPr filterMode="0">
    <outlinePr summaryBelow="1" summaryRight="1"/>
    <pageSetUpPr fitToPage="0"/>
  </sheetPr>
  <dimension ref="A1:H47"/>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8" min="1" max="1"/>
    <col width="34" customWidth="1" style="18" min="2" max="2"/>
    <col width="16" customWidth="1" style="18" min="3" max="3"/>
    <col width="32" customWidth="1" style="18" min="4" max="4"/>
    <col width="26" customWidth="1" style="18" min="5" max="5"/>
    <col width="46" customWidth="1" style="18" min="6" max="6"/>
    <col width="20" customWidth="1" style="18" min="7" max="7"/>
  </cols>
  <sheetData>
    <row r="1" ht="17.35" customHeight="1" s="19">
      <c r="A1" s="20" t="inlineStr">
        <is>
          <t>L29 · Attempt Domains and Dimensions</t>
        </is>
      </c>
    </row>
    <row r="2" ht="15" customHeight="1" s="19">
      <c r="A2" s="28" t="inlineStr">
        <is>
          <t>SETTLED — August 2026</t>
        </is>
      </c>
    </row>
    <row r="3" ht="30" customHeight="1" s="19">
      <c r="A3" s="21" t="inlineStr">
        <is>
          <t>The attempt Space is two layers. A DOMAIN is an outcome and stores no number; its DIMENSIONS are genuinely different routes to that outcome. The GM names the Domain; the player picks the route.</t>
        </is>
      </c>
    </row>
    <row r="4" ht="30" customHeight="1" s="19">
      <c r="A4" s="32" t="inlineStr">
        <is>
          <t>A third layer exists: a SPECIALISATION is a scoped narrowing of one Dimension granting Bonus Points. Strictly narrower, never a substitute.</t>
        </is>
      </c>
    </row>
    <row r="6" ht="15" customHeight="1" s="19">
      <c r="A6" s="42" t="inlineStr">
        <is>
          <t>Domain</t>
        </is>
      </c>
      <c r="B6" s="42" t="inlineStr">
        <is>
          <t>The outcome</t>
        </is>
      </c>
      <c r="C6" s="42" t="inlineStr">
        <is>
          <t>Dimension</t>
        </is>
      </c>
      <c r="D6" s="42" t="inlineStr">
        <is>
          <t>The route it describes</t>
        </is>
      </c>
      <c r="E6" s="42" t="inlineStr">
        <is>
          <t>Example Specialisation</t>
        </is>
      </c>
      <c r="F6" s="42" t="inlineStr">
        <is>
          <t>Notes</t>
        </is>
      </c>
      <c r="G6" s="33" t="inlineStr">
        <is>
          <t>Keep / cut</t>
        </is>
      </c>
    </row>
    <row r="7" ht="15" customHeight="1" s="19">
      <c r="A7" s="41" t="inlineStr">
        <is>
          <t>FORCE</t>
        </is>
      </c>
      <c r="B7" s="41" t="inlineStr">
        <is>
          <t>make something move, break, or hold</t>
        </is>
      </c>
      <c r="C7" s="41" t="inlineStr">
        <is>
          <t>power</t>
        </is>
      </c>
      <c r="D7" s="41" t="inlineStr">
        <is>
          <t>mass, strength, leverage</t>
        </is>
      </c>
      <c r="E7" s="41" t="inlineStr">
        <is>
          <t>power (lifting)</t>
        </is>
      </c>
      <c r="F7" s="41" t="inlineStr"/>
      <c r="G7" s="34" t="inlineStr">
        <is>
          <t>keep</t>
        </is>
      </c>
      <c r="H7" s="35" t="inlineStr">
        <is>
          <t>← example, not data</t>
        </is>
      </c>
    </row>
    <row r="8" ht="15" customHeight="1" s="19">
      <c r="A8" s="41" t="inlineStr"/>
      <c r="B8" s="41" t="inlineStr"/>
      <c r="C8" s="41" t="inlineStr">
        <is>
          <t>momentum</t>
        </is>
      </c>
      <c r="D8" s="41" t="inlineStr">
        <is>
          <t>speed and weight behind it</t>
        </is>
      </c>
      <c r="E8" s="41" t="inlineStr">
        <is>
          <t>momentum (charging)</t>
        </is>
      </c>
      <c r="F8" s="41" t="inlineStr"/>
      <c r="G8" s="36" t="inlineStr">
        <is>
          <t>keep — PROPOSED</t>
        </is>
      </c>
    </row>
    <row r="9" ht="15" customHeight="1" s="19">
      <c r="A9" s="41" t="inlineStr">
        <is>
          <t>PRECISION</t>
        </is>
      </c>
      <c r="B9" s="41" t="inlineStr">
        <is>
          <t>do something exactly right</t>
        </is>
      </c>
      <c r="C9" s="41" t="inlineStr">
        <is>
          <t>control</t>
        </is>
      </c>
      <c r="D9" s="41" t="inlineStr">
        <is>
          <t>steady hands, fine work</t>
        </is>
      </c>
      <c r="E9" s="41" t="inlineStr">
        <is>
          <t>control (with locks)</t>
        </is>
      </c>
      <c r="F9" s="41" t="inlineStr"/>
      <c r="G9" s="36" t="inlineStr">
        <is>
          <t>keep — PROPOSED</t>
        </is>
      </c>
    </row>
    <row r="10" ht="15" customHeight="1" s="19">
      <c r="A10" s="41" t="inlineStr"/>
      <c r="B10" s="41" t="inlineStr"/>
      <c r="C10" s="41" t="inlineStr">
        <is>
          <t>timing</t>
        </is>
      </c>
      <c r="D10" s="41" t="inlineStr">
        <is>
          <t>the right instant</t>
        </is>
      </c>
      <c r="E10" s="41" t="inlineStr">
        <is>
          <t>timing (parrying)</t>
        </is>
      </c>
      <c r="F10" s="41" t="inlineStr"/>
      <c r="G10" s="36" t="inlineStr">
        <is>
          <t>keep — PROPOSED</t>
        </is>
      </c>
    </row>
    <row r="11" ht="15" customHeight="1" s="19">
      <c r="A11" s="41" t="inlineStr">
        <is>
          <t>MOVEMENT</t>
        </is>
      </c>
      <c r="B11" s="41" t="inlineStr">
        <is>
          <t>get there, get away, or not be where it lands</t>
        </is>
      </c>
      <c r="C11" s="41" t="inlineStr">
        <is>
          <t>agility</t>
        </is>
      </c>
      <c r="D11" s="41" t="inlineStr">
        <is>
          <t>nimbleness, dodging, climbing</t>
        </is>
      </c>
      <c r="E11" s="41" t="inlineStr">
        <is>
          <t>agility (in rigging)</t>
        </is>
      </c>
      <c r="F11" s="41" t="inlineStr"/>
      <c r="G11" s="36" t="inlineStr">
        <is>
          <t>argue — PROPOSED. A storm notices nothing; does that mean this is people-only, or that a storm needs a Category that supplies it?</t>
        </is>
      </c>
    </row>
    <row r="12" ht="15" customHeight="1" s="19">
      <c r="A12" s="41" t="inlineStr"/>
      <c r="B12" s="41" t="inlineStr"/>
      <c r="C12" s="41" t="inlineStr">
        <is>
          <t>pace</t>
        </is>
      </c>
      <c r="D12" s="41" t="inlineStr">
        <is>
          <t>ground covered, staying ahead</t>
        </is>
      </c>
      <c r="E12" s="41" t="inlineStr">
        <is>
          <t>pace (over open country)</t>
        </is>
      </c>
      <c r="F12" s="41" t="inlineStr">
        <is>
          <t>THINNEST — cut this first if 15 is too many</t>
        </is>
      </c>
      <c r="G12" s="36" t="inlineStr">
        <is>
          <t>argue — PROPOSED. Same question as notice</t>
        </is>
      </c>
    </row>
    <row r="13" ht="15" customHeight="1" s="19">
      <c r="A13" s="41" t="inlineStr">
        <is>
          <t>AWARENESS</t>
        </is>
      </c>
      <c r="B13" s="41" t="inlineStr">
        <is>
          <t>know what is there</t>
        </is>
      </c>
      <c r="C13" s="41" t="inlineStr">
        <is>
          <t>senses</t>
        </is>
      </c>
      <c r="D13" s="41" t="inlineStr">
        <is>
          <t>perceive it directly</t>
        </is>
      </c>
      <c r="E13" s="41" t="inlineStr">
        <is>
          <t>senses (in darkness)</t>
        </is>
      </c>
      <c r="F13" s="41" t="inlineStr">
        <is>
          <t>the passive/active split 9 systems made independently</t>
        </is>
      </c>
      <c r="G13" s="36" t="inlineStr">
        <is>
          <t>keep — PROPOSED</t>
        </is>
      </c>
    </row>
    <row r="14" ht="15" customHeight="1" s="19">
      <c r="A14" s="41" t="inlineStr"/>
      <c r="B14" s="41" t="inlineStr"/>
      <c r="C14" s="41" t="inlineStr">
        <is>
          <t>study</t>
        </is>
      </c>
      <c r="D14" s="41" t="inlineStr">
        <is>
          <t>work it out, or already know it</t>
        </is>
      </c>
      <c r="E14" s="41" t="inlineStr">
        <is>
          <t>study (of heraldry)</t>
        </is>
      </c>
      <c r="F14" s="41" t="inlineStr">
        <is>
          <t>absorbs Knowledge, Investigation and Read People</t>
        </is>
      </c>
      <c r="G14" s="36" t="inlineStr">
        <is>
          <t>argue — PROPOSED. A ship sways nobody; a faction does</t>
        </is>
      </c>
    </row>
    <row r="15" ht="15" customHeight="1" s="19">
      <c r="A15" s="41" t="inlineStr">
        <is>
          <t>INFLUENCE</t>
        </is>
      </c>
      <c r="B15" s="41" t="inlineStr">
        <is>
          <t>change what a mind does</t>
        </is>
      </c>
      <c r="C15" s="41" t="inlineStr">
        <is>
          <t>appeal</t>
        </is>
      </c>
      <c r="D15" s="41" t="inlineStr">
        <is>
          <t>a reason they already want</t>
        </is>
      </c>
      <c r="E15" s="41" t="inlineStr">
        <is>
          <t>appeal (among dockworkers)</t>
        </is>
      </c>
      <c r="F15" s="41" t="inlineStr">
        <is>
          <t>needs an existing disposition</t>
        </is>
      </c>
      <c r="G15" s="36" t="inlineStr">
        <is>
          <t>keep — PROPOSED</t>
        </is>
      </c>
    </row>
    <row r="16" ht="15" customHeight="1" s="19">
      <c r="A16" s="41" t="inlineStr"/>
      <c r="B16" s="41" t="inlineStr"/>
      <c r="C16" s="41" t="inlineStr">
        <is>
          <t>pressure</t>
        </is>
      </c>
      <c r="D16" s="41" t="inlineStr">
        <is>
          <t>a reason to fear the alternative</t>
        </is>
      </c>
      <c r="E16" s="41" t="inlineStr">
        <is>
          <t>pressure (over subordinates)</t>
        </is>
      </c>
      <c r="F16" s="41" t="inlineStr">
        <is>
          <t>LEAVES RESIDUE — fear, even on success</t>
        </is>
      </c>
      <c r="G16" s="36" t="inlineStr"/>
    </row>
    <row r="17" ht="15" customHeight="1" s="19">
      <c r="A17" s="41" t="inlineStr"/>
      <c r="B17" s="41" t="inlineStr"/>
      <c r="C17" s="41" t="inlineStr">
        <is>
          <t>bargain</t>
        </is>
      </c>
      <c r="D17" s="41" t="inlineStr">
        <is>
          <t>something concrete in hand</t>
        </is>
      </c>
      <c r="E17" s="41" t="inlineStr">
        <is>
          <t>bargain (in markets)</t>
        </is>
      </c>
      <c r="F17" s="41" t="inlineStr">
        <is>
          <t>needs no disposition; stays contingent on the thing traded</t>
        </is>
      </c>
      <c r="G17" s="36" t="inlineStr"/>
    </row>
    <row r="18" ht="15" customHeight="1" s="19">
      <c r="A18" s="41" t="inlineStr">
        <is>
          <t>GUILE</t>
        </is>
      </c>
      <c r="B18" s="41" t="inlineStr">
        <is>
          <t>not be found, or not be understood</t>
        </is>
      </c>
      <c r="C18" s="41" t="inlineStr">
        <is>
          <t>stealth</t>
        </is>
      </c>
      <c r="D18" s="41" t="inlineStr">
        <is>
          <t>give them nothing to notice</t>
        </is>
      </c>
      <c r="E18" s="41" t="inlineStr">
        <is>
          <t>stealth (in cities)</t>
        </is>
      </c>
      <c r="F18" s="41" t="inlineStr">
        <is>
          <t>"Stealth" is the single most stable term in the hobby — 20 systems</t>
        </is>
      </c>
      <c r="G18" s="36" t="inlineStr"/>
    </row>
    <row r="19" ht="15" customHeight="1" s="19">
      <c r="A19" s="41" t="inlineStr"/>
      <c r="B19" s="41" t="inlineStr"/>
      <c r="C19" s="41" t="inlineStr">
        <is>
          <t>deceit</t>
        </is>
      </c>
      <c r="D19" s="41" t="inlineStr">
        <is>
          <t>give them something false to notice</t>
        </is>
      </c>
      <c r="E19" s="41" t="inlineStr">
        <is>
          <t>deceit (in writing)</t>
        </is>
      </c>
      <c r="F19" s="41" t="inlineStr">
        <is>
          <t>honest vs dishonest is the most universal social split</t>
        </is>
      </c>
      <c r="G19" s="36" t="inlineStr"/>
    </row>
    <row r="20" ht="15" customHeight="1" s="19">
      <c r="A20" s="41" t="inlineStr">
        <is>
          <t>RESOLVE</t>
        </is>
      </c>
      <c r="B20" s="41" t="inlineStr">
        <is>
          <t>hold, resist, endure</t>
        </is>
      </c>
      <c r="C20" s="41" t="inlineStr">
        <is>
          <t>grit</t>
        </is>
      </c>
      <c r="D20" s="41" t="inlineStr">
        <is>
          <t>the body keeps going</t>
        </is>
      </c>
      <c r="E20" s="41" t="inlineStr">
        <is>
          <t>grit (against cold)</t>
        </is>
      </c>
      <c r="F20" s="41" t="inlineStr"/>
      <c r="G20" s="36" t="inlineStr">
        <is>
          <t>cut — it is 'exert force' wearing a person's clothes</t>
        </is>
      </c>
    </row>
    <row r="21" ht="15" customHeight="1" s="19">
      <c r="A21" s="41" t="inlineStr"/>
      <c r="B21" s="41" t="inlineStr"/>
      <c r="C21" s="41" t="inlineStr">
        <is>
          <t>focus</t>
        </is>
      </c>
      <c r="D21" s="41" t="inlineStr">
        <is>
          <t>the mind stays your own</t>
        </is>
      </c>
      <c r="E21" s="41" t="inlineStr">
        <is>
          <t>focus (against fear)</t>
        </is>
      </c>
      <c r="F21" s="41" t="inlineStr"/>
      <c r="G21" s="36" t="inlineStr">
        <is>
          <t>cut — people-only, and it describes an essence</t>
        </is>
      </c>
    </row>
    <row r="22" ht="15" customHeight="1" s="19">
      <c r="A22" s="41" t="inlineStr"/>
      <c r="B22" s="41" t="inlineStr"/>
      <c r="C22" s="41" t="inlineStr"/>
      <c r="D22" s="41" t="inlineStr"/>
      <c r="E22" s="41" t="inlineStr"/>
      <c r="F22" s="41" t="inlineStr"/>
      <c r="G22" s="36" t="inlineStr">
        <is>
          <t>cut — this is gear plus 'manipulate'. One Capacity per skill is the trap</t>
        </is>
      </c>
    </row>
    <row r="23" ht="15" customHeight="1" s="19">
      <c r="A23" s="41" t="inlineStr">
        <is>
          <t>RULES</t>
        </is>
      </c>
      <c r="B23" s="41" t="inlineStr"/>
      <c r="C23" s="41" t="inlineStr"/>
      <c r="D23" s="41" t="inlineStr"/>
      <c r="E23" s="41" t="inlineStr"/>
      <c r="F23" s="41" t="inlineStr"/>
      <c r="G23" s="36" t="inlineStr">
        <is>
          <t>cut — 'sway' is the capacity; charisma is a story about why</t>
        </is>
      </c>
    </row>
    <row r="24" ht="15" customHeight="1" s="19">
      <c r="A24" s="41" t="inlineStr">
        <is>
          <t>The GM names the Domain. The player must spend at least one point inside it.</t>
        </is>
      </c>
      <c r="B24" s="41" t="inlineStr"/>
      <c r="C24" s="41" t="inlineStr"/>
      <c r="D24" s="41" t="inlineStr"/>
      <c r="E24" s="41" t="inlineStr"/>
      <c r="F24" s="41" t="inlineStr"/>
      <c r="G24" s="36" t="inlineStr">
        <is>
          <t>cut — belongs to the Resolution Socket if anywhere</t>
        </is>
      </c>
    </row>
    <row r="25" ht="15" customHeight="1" s="19">
      <c r="A25" s="41" t="inlineStr">
        <is>
          <t>If the GM names a DIMENSION instead, that is harder — the player must spend at least one point there and work out which route the situation wants.</t>
        </is>
      </c>
      <c r="B25" s="41" t="inlineStr"/>
      <c r="C25" s="41" t="inlineStr"/>
      <c r="D25" s="41" t="inlineStr"/>
      <c r="E25" s="41" t="inlineStr"/>
      <c r="F25" s="41" t="inlineStr"/>
      <c r="G25" s="37" t="n"/>
    </row>
    <row r="26" ht="15" customHeight="1" s="19">
      <c r="A26" s="41" t="inlineStr">
        <is>
          <t>A Domain bar reads the SUM of its Dimensions. Concentrating a Domain's points on one Dimension is weakly better than splitting inside it.</t>
        </is>
      </c>
      <c r="B26" s="41" t="inlineStr"/>
      <c r="C26" s="41" t="inlineStr"/>
      <c r="D26" s="41" t="inlineStr"/>
      <c r="E26" s="41" t="inlineStr"/>
      <c r="F26" s="41" t="inlineStr"/>
      <c r="G26" s="37" t="n"/>
    </row>
    <row r="27" ht="15" customHeight="1" s="19">
      <c r="A27" s="41" t="inlineStr">
        <is>
          <t>A Threshold declares how it reads contributors: SUM (effort accumulates) · HIGHEST (one is enough) · EACH (lands person by person). There is no LOWEST.</t>
        </is>
      </c>
      <c r="B27" s="41" t="inlineStr"/>
      <c r="C27" s="41" t="inlineStr"/>
      <c r="D27" s="41" t="inlineStr"/>
      <c r="E27" s="41" t="inlineStr"/>
      <c r="F27" s="41" t="inlineStr"/>
      <c r="G27" s="37" t="n"/>
    </row>
    <row r="28" ht="15" customHeight="1" s="19">
      <c r="A28" s="41" t="inlineStr">
        <is>
          <t>Attempt Capacity (a percentage) bounds total attention absorbed. Participant Capacity (an integer) bounds headcount. Both optional; both needed.</t>
        </is>
      </c>
      <c r="B28" s="41" t="inlineStr"/>
      <c r="C28" s="41" t="inlineStr"/>
      <c r="D28" s="41" t="inlineStr"/>
      <c r="E28" s="41" t="inlineStr"/>
      <c r="F28" s="41" t="inlineStr"/>
      <c r="G28" s="37" t="n"/>
    </row>
    <row r="29" ht="15" customHeight="1" s="19">
      <c r="A29" s="41" t="inlineStr"/>
      <c r="B29" s="41" t="inlineStr"/>
      <c r="C29" s="41" t="inlineStr"/>
      <c r="D29" s="41" t="inlineStr"/>
      <c r="E29" s="41" t="inlineStr"/>
      <c r="F29" s="41" t="inlineStr"/>
      <c r="G29" s="37" t="n"/>
    </row>
    <row r="30" ht="15" customHeight="1" s="19">
      <c r="A30" s="41" t="inlineStr">
        <is>
          <t>STILL OPEN</t>
        </is>
      </c>
      <c r="B30" s="41" t="inlineStr"/>
      <c r="C30" s="41" t="inlineStr"/>
      <c r="D30" s="41" t="inlineStr"/>
      <c r="E30" s="41" t="inlineStr"/>
      <c r="F30" s="41" t="inlineStr"/>
      <c r="G30" s="37" t="n"/>
    </row>
    <row r="31" ht="15" customHeight="1" s="19">
      <c r="A31" s="41" t="inlineStr">
        <is>
          <t>How MAGNITUDE is produced — "a combination of modifiers and a dice roll". Deferred until every list is filled and the real numbers can be seen.</t>
        </is>
      </c>
      <c r="B31" s="41" t="inlineStr"/>
      <c r="C31" s="41" t="inlineStr"/>
      <c r="D31" s="41" t="inlineStr"/>
      <c r="E31" s="41" t="inlineStr"/>
      <c r="F31" s="41" t="inlineStr"/>
      <c r="G31" s="37" t="n"/>
    </row>
    <row r="32" ht="15" customHeight="1" s="19">
      <c r="A32" s="41" t="inlineStr"/>
      <c r="B32" s="41" t="inlineStr"/>
      <c r="C32" s="41" t="inlineStr"/>
      <c r="D32" s="41" t="inlineStr"/>
      <c r="E32" s="41" t="inlineStr"/>
      <c r="F32" s="41" t="inlineStr"/>
      <c r="G32" s="37" t="n"/>
    </row>
    <row r="33" ht="15" customHeight="1" s="19">
      <c r="A33" s="41" t="inlineStr">
        <is>
          <t>CONSIDERED AND REJECTED</t>
        </is>
      </c>
      <c r="B33" s="41" t="inlineStr"/>
      <c r="C33" s="41" t="inlineStr"/>
      <c r="D33" s="41" t="inlineStr"/>
      <c r="E33" s="41" t="inlineStr"/>
      <c r="F33" s="41" t="inlineStr"/>
      <c r="G33" s="37" t="n"/>
    </row>
    <row r="34" ht="15" customHeight="1" s="19">
      <c r="A34" s="41" t="inlineStr">
        <is>
          <t>strength / intelligence / charisma</t>
        </is>
      </c>
      <c r="B34" s="41" t="inlineStr">
        <is>
          <t>qualities, not routes</t>
        </is>
      </c>
      <c r="C34" s="41" t="inlineStr"/>
      <c r="D34" s="41" t="inlineStr"/>
      <c r="E34" s="41" t="inlineStr"/>
      <c r="F34" s="41" t="inlineStr">
        <is>
          <t>each describes an essence and dies outside a person</t>
        </is>
      </c>
      <c r="G34" s="37" t="n"/>
    </row>
    <row r="35" ht="15" customHeight="1" s="19">
      <c r="A35" s="41" t="inlineStr">
        <is>
          <t>lockpicking</t>
        </is>
      </c>
      <c r="B35" s="41" t="inlineStr">
        <is>
          <t>a learned skill</t>
        </is>
      </c>
      <c r="C35" s="41" t="inlineStr"/>
      <c r="D35" s="41" t="inlineStr"/>
      <c r="E35" s="41" t="inlineStr"/>
      <c r="F35" s="41" t="inlineStr">
        <is>
          <t>gear plus PRECISION control. One entry per skill is the trap that turns 15 into 200</t>
        </is>
      </c>
      <c r="G35" s="37" t="n"/>
    </row>
    <row r="36" ht="15" customHeight="1" s="19">
      <c r="A36" s="41" t="inlineStr">
        <is>
          <t>luck</t>
        </is>
      </c>
      <c r="B36" s="41" t="inlineStr">
        <is>
          <t>not a disposition</t>
        </is>
      </c>
      <c r="C36" s="41" t="inlineStr"/>
      <c r="D36" s="41" t="inlineStr"/>
      <c r="E36" s="41" t="inlineStr"/>
      <c r="F36" s="41" t="inlineStr">
        <is>
          <t>belongs to the Resolution Socket if anywhere</t>
        </is>
      </c>
      <c r="G36" s="37" t="n"/>
    </row>
    <row r="37" ht="15" customHeight="1" s="19">
      <c r="A37" s="41" t="inlineStr">
        <is>
          <t>a lowest / weakest-link Threshold mode</t>
        </is>
      </c>
      <c r="B37" s="41" t="inlineStr"/>
      <c r="C37" s="41" t="inlineStr"/>
      <c r="D37" s="41" t="inlineStr"/>
      <c r="E37" s="41" t="inlineStr"/>
      <c r="F37" s="41" t="inlineStr">
        <is>
          <t>would make a party less stealthy for having more people, and teach players not to participate</t>
        </is>
      </c>
      <c r="G37" s="37" t="n"/>
    </row>
    <row r="38" ht="15" customHeight="1" s="19">
      <c r="A38" s="37" t="n"/>
      <c r="B38" s="37" t="n"/>
      <c r="C38" s="37" t="n"/>
      <c r="D38" s="37" t="n"/>
      <c r="E38" s="37" t="n"/>
      <c r="F38" s="37" t="n"/>
      <c r="G38" s="37" t="n"/>
    </row>
    <row r="39" ht="15" customHeight="1" s="19">
      <c r="A39" s="37" t="n"/>
      <c r="B39" s="37" t="n"/>
      <c r="C39" s="37" t="n"/>
      <c r="D39" s="37" t="n"/>
      <c r="E39" s="37" t="n"/>
      <c r="F39" s="37" t="n"/>
      <c r="G39" s="37" t="n"/>
    </row>
    <row r="40" ht="15" customHeight="1" s="19">
      <c r="A40" s="37" t="n"/>
      <c r="B40" s="37" t="n"/>
      <c r="C40" s="37" t="n"/>
      <c r="D40" s="37" t="n"/>
      <c r="E40" s="37" t="n"/>
      <c r="F40" s="37" t="n"/>
      <c r="G40" s="37" t="n"/>
    </row>
    <row r="41" ht="15" customHeight="1" s="19">
      <c r="A41" s="37" t="n"/>
      <c r="B41" s="37" t="n"/>
      <c r="C41" s="37" t="n"/>
      <c r="D41" s="37" t="n"/>
      <c r="E41" s="37" t="n"/>
      <c r="F41" s="37" t="n"/>
      <c r="G41" s="37" t="n"/>
    </row>
    <row r="42" ht="15" customHeight="1" s="19">
      <c r="A42" s="37" t="n"/>
      <c r="B42" s="37" t="n"/>
      <c r="C42" s="37" t="n"/>
      <c r="D42" s="37" t="n"/>
      <c r="E42" s="37" t="n"/>
      <c r="F42" s="37" t="n"/>
      <c r="G42" s="37" t="n"/>
    </row>
    <row r="43" ht="15" customHeight="1" s="19">
      <c r="A43" s="37" t="n"/>
      <c r="B43" s="37" t="n"/>
      <c r="C43" s="37" t="n"/>
      <c r="D43" s="37" t="n"/>
      <c r="E43" s="37" t="n"/>
      <c r="F43" s="37" t="n"/>
      <c r="G43" s="37" t="n"/>
    </row>
    <row r="44" ht="15" customHeight="1" s="19">
      <c r="A44" s="37" t="n"/>
      <c r="B44" s="37" t="n"/>
      <c r="C44" s="37" t="n"/>
      <c r="D44" s="37" t="n"/>
      <c r="E44" s="37" t="n"/>
      <c r="F44" s="37" t="n"/>
      <c r="G44" s="37" t="n"/>
    </row>
    <row r="45" ht="15" customHeight="1" s="19">
      <c r="A45" s="37" t="n"/>
      <c r="B45" s="37" t="n"/>
      <c r="C45" s="37" t="n"/>
      <c r="D45" s="37" t="n"/>
      <c r="E45" s="37" t="n"/>
      <c r="F45" s="37" t="n"/>
      <c r="G45" s="37" t="n"/>
    </row>
    <row r="46" ht="15" customHeight="1" s="19">
      <c r="A46" s="37" t="n"/>
      <c r="B46" s="37" t="n"/>
      <c r="C46" s="37" t="n"/>
      <c r="D46" s="37" t="n"/>
      <c r="E46" s="37" t="n"/>
      <c r="F46" s="37" t="n"/>
      <c r="G46" s="37" t="n"/>
    </row>
    <row r="47" ht="15" customHeight="1" s="19">
      <c r="A47" s="37" t="n"/>
      <c r="B47" s="37" t="n"/>
      <c r="C47" s="37" t="n"/>
      <c r="D47" s="37" t="n"/>
      <c r="E47" s="37" t="n"/>
      <c r="F47" s="37" t="n"/>
      <c r="G47" s="3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F47"/>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8" min="1" max="1"/>
    <col width="40" customWidth="1" style="18" min="2" max="2"/>
    <col width="30" customWidth="1" style="18" min="3" max="3"/>
    <col width="24" customWidth="1" style="18" min="4" max="4"/>
    <col width="34" customWidth="1" style="18" min="5" max="5"/>
  </cols>
  <sheetData>
    <row r="1" ht="17.35" customHeight="1" s="19">
      <c r="A1" s="20" t="inlineStr">
        <is>
          <t>L30 · Instrumentation surfaces</t>
        </is>
      </c>
    </row>
    <row r="2" ht="15" customHeight="1" s="19">
      <c r="A2" s="29" t="inlineStr">
        <is>
          <t>PENDING</t>
        </is>
      </c>
    </row>
    <row r="3" ht="30" customHeight="1" s="19">
      <c r="A3" s="21" t="inlineStr">
        <is>
          <t>What the build must expose to be developed and playtested at all. Phase 1, not Phase 3.</t>
        </is>
      </c>
    </row>
    <row r="4" ht="30" customHeight="1" s="19">
      <c r="A4" s="32" t="inlineStr">
        <is>
          <t>REVISED — the settled lists created specific things that must be measured rather than guessed.</t>
        </is>
      </c>
    </row>
    <row r="6" ht="15" customHeight="1" s="19">
      <c r="A6" s="33" t="inlineStr">
        <is>
          <t>Surface</t>
        </is>
      </c>
      <c r="B6" s="33" t="inlineStr">
        <is>
          <t>Who uses it</t>
        </is>
      </c>
      <c r="C6" s="33" t="inlineStr">
        <is>
          <t>Writes to the Ledger?</t>
        </is>
      </c>
      <c r="D6" s="33" t="inlineStr">
        <is>
          <t>Production or test-only?</t>
        </is>
      </c>
      <c r="E6" s="33" t="inlineStr">
        <is>
          <t>Priority</t>
        </is>
      </c>
    </row>
    <row r="7" ht="15" customHeight="1" s="19">
      <c r="A7" s="34" t="inlineStr">
        <is>
          <t>what-if</t>
        </is>
      </c>
      <c r="B7" s="34" t="inlineStr">
        <is>
          <t>tester, designer</t>
        </is>
      </c>
      <c r="C7" s="34" t="inlineStr">
        <is>
          <t>no — never</t>
        </is>
      </c>
      <c r="D7" s="34" t="inlineStr">
        <is>
          <t>both</t>
        </is>
      </c>
      <c r="E7" s="34" t="inlineStr">
        <is>
          <t>1</t>
        </is>
      </c>
      <c r="F7" s="35" t="inlineStr">
        <is>
          <t>← example, not data</t>
        </is>
      </c>
    </row>
    <row r="8" ht="15" customHeight="1" s="19">
      <c r="A8" s="36" t="inlineStr">
        <is>
          <t>resolution expansion</t>
        </is>
      </c>
      <c r="B8" s="36" t="inlineStr">
        <is>
          <t>everyone</t>
        </is>
      </c>
      <c r="C8" s="36" t="inlineStr">
        <is>
          <t>no</t>
        </is>
      </c>
      <c r="D8" s="36" t="inlineStr">
        <is>
          <t>production</t>
        </is>
      </c>
      <c r="E8" s="36" t="inlineStr">
        <is>
          <t>every slot E-100 to R-1400, every input, every contributing item named</t>
        </is>
      </c>
    </row>
    <row r="9" ht="15" customHeight="1" s="19">
      <c r="A9" s="36" t="inlineStr">
        <is>
          <t>rounding visibility</t>
        </is>
      </c>
      <c r="B9" s="36" t="inlineStr">
        <is>
          <t>everyone</t>
        </is>
      </c>
      <c r="C9" s="36" t="inlineStr">
        <is>
          <t>no</t>
        </is>
      </c>
      <c r="D9" s="36" t="inlineStr">
        <is>
          <t>production</t>
        </is>
      </c>
      <c r="E9" s="36" t="inlineStr">
        <is>
          <t>EVERY truncation is its own flagged line, showing before, after and how much was lost</t>
        </is>
      </c>
    </row>
    <row r="10" ht="15" customHeight="1" s="19">
      <c r="A10" s="36" t="inlineStr">
        <is>
          <t>Dimension usage counter</t>
        </is>
      </c>
      <c r="B10" s="36" t="inlineStr">
        <is>
          <t>you</t>
        </is>
      </c>
      <c r="C10" s="36" t="inlineStr">
        <is>
          <t>no</t>
        </is>
      </c>
      <c r="D10" s="36" t="inlineStr">
        <is>
          <t>test</t>
        </is>
      </c>
      <c r="E10" s="36" t="inlineStr">
        <is>
          <t>which of the 14 Dimensions and 88 Channels are actually used. A Channel nobody picks is a Channel to cut</t>
        </is>
      </c>
    </row>
    <row r="11" ht="15" customHeight="1" s="19">
      <c r="A11" s="36" t="inlineStr">
        <is>
          <t>attempt Dimension usage</t>
        </is>
      </c>
      <c r="B11" s="36" t="inlineStr">
        <is>
          <t>you</t>
        </is>
      </c>
      <c r="C11" s="36" t="inlineStr">
        <is>
          <t>no</t>
        </is>
      </c>
      <c r="D11" s="36" t="inlineStr">
        <is>
          <t>test</t>
        </is>
      </c>
      <c r="E11" s="36" t="inlineStr">
        <is>
          <t>which of the 15 attempt Dimensions get allocated to. A Dimension nobody picks means the pair was never a real pair</t>
        </is>
      </c>
    </row>
    <row r="12" ht="15" customHeight="1" s="19">
      <c r="A12" s="36" t="inlineStr">
        <is>
          <t>downside-bar counter</t>
        </is>
      </c>
      <c r="B12" s="36" t="inlineStr">
        <is>
          <t>you</t>
        </is>
      </c>
      <c r="C12" s="36" t="inlineStr">
        <is>
          <t>no</t>
        </is>
      </c>
      <c r="D12" s="36" t="inlineStr">
        <is>
          <t>test</t>
        </is>
      </c>
      <c r="E12" s="36" t="inlineStr">
        <is>
          <t>how many Thresholds ship with no downside bar. This is the measure of whether the all-in mitigation works</t>
        </is>
      </c>
    </row>
    <row r="13" ht="15" customHeight="1" s="19">
      <c r="A13" s="36" t="inlineStr">
        <is>
          <t>Guard coverage report</t>
        </is>
      </c>
      <c r="B13" s="36" t="inlineStr">
        <is>
          <t>you</t>
        </is>
      </c>
      <c r="C13" s="36" t="inlineStr">
        <is>
          <t>no</t>
        </is>
      </c>
      <c r="D13" s="36" t="inlineStr">
        <is>
          <t>test</t>
        </is>
      </c>
      <c r="E13" s="36" t="inlineStr">
        <is>
          <t>which Dimensions have no authored Guard. That is how a type becomes free damage</t>
        </is>
      </c>
    </row>
    <row r="14" ht="15" customHeight="1" s="19">
      <c r="A14" s="36" t="inlineStr">
        <is>
          <t>searchable event log</t>
        </is>
      </c>
      <c r="B14" s="36" t="inlineStr">
        <is>
          <t>testers</t>
        </is>
      </c>
      <c r="C14" s="36" t="inlineStr">
        <is>
          <t>no</t>
        </is>
      </c>
      <c r="D14" s="36" t="inlineStr">
        <is>
          <t>both</t>
        </is>
      </c>
      <c r="E14" s="36" t="inlineStr">
        <is>
          <t>the whole Ledger, queryable</t>
        </is>
      </c>
    </row>
    <row r="15" ht="15" customHeight="1" s="19">
      <c r="A15" s="36" t="inlineStr">
        <is>
          <t>state inspector at any Moment</t>
        </is>
      </c>
      <c r="B15" s="36" t="inlineStr">
        <is>
          <t>testers</t>
        </is>
      </c>
      <c r="C15" s="36" t="inlineStr">
        <is>
          <t>no</t>
        </is>
      </c>
      <c r="D15" s="36" t="inlineStr">
        <is>
          <t>both</t>
        </is>
      </c>
      <c r="E15" s="36" t="inlineStr"/>
    </row>
    <row r="16" ht="15" customHeight="1" s="19">
      <c r="A16" s="36" t="inlineStr">
        <is>
          <t>time travel to any Moment</t>
        </is>
      </c>
      <c r="B16" s="36" t="inlineStr">
        <is>
          <t>testers</t>
        </is>
      </c>
      <c r="C16" s="36" t="inlineStr">
        <is>
          <t>no</t>
        </is>
      </c>
      <c r="D16" s="36" t="inlineStr">
        <is>
          <t>test only</t>
        </is>
      </c>
      <c r="E16" s="36" t="inlineStr">
        <is>
          <t>would ruin a scene if opened mid-fight</t>
        </is>
      </c>
    </row>
    <row r="17" ht="15" customHeight="1" s="19">
      <c r="A17" s="36" t="inlineStr">
        <is>
          <t>what-if re-run</t>
        </is>
      </c>
      <c r="B17" s="36" t="inlineStr">
        <is>
          <t>you</t>
        </is>
      </c>
      <c r="C17" s="36" t="inlineStr">
        <is>
          <t>no</t>
        </is>
      </c>
      <c r="D17" s="36" t="inlineStr">
        <is>
          <t>test only</t>
        </is>
      </c>
      <c r="E17" s="36" t="inlineStr">
        <is>
          <t>change one number, re-run a past Moment, diff the outcome</t>
        </is>
      </c>
    </row>
    <row r="18" ht="15" customHeight="1" s="19">
      <c r="A18" s="36" t="inlineStr">
        <is>
          <t>in-place notes</t>
        </is>
      </c>
      <c r="B18" s="36" t="inlineStr">
        <is>
          <t>testers</t>
        </is>
      </c>
      <c r="C18" s="36" t="inlineStr">
        <is>
          <t>yes</t>
        </is>
      </c>
      <c r="D18" s="36" t="inlineStr">
        <is>
          <t>both</t>
        </is>
      </c>
      <c r="E18" s="36" t="inlineStr">
        <is>
          <t>attached to the exact thing they are about</t>
        </is>
      </c>
    </row>
    <row r="19" ht="15" customHeight="1" s="19">
      <c r="A19" s="36" t="inlineStr">
        <is>
          <t>determinism harness</t>
        </is>
      </c>
      <c r="B19" s="36" t="inlineStr">
        <is>
          <t>you</t>
        </is>
      </c>
      <c r="C19" s="36" t="inlineStr">
        <is>
          <t>no</t>
        </is>
      </c>
      <c r="D19" s="36" t="inlineStr">
        <is>
          <t>test</t>
        </is>
      </c>
      <c r="E19" s="36" t="inlineStr">
        <is>
          <t>state hash at every Moment, two-machine diff</t>
        </is>
      </c>
    </row>
    <row r="20" ht="15" customHeight="1" s="19">
      <c r="A20" s="36" t="inlineStr"/>
      <c r="B20" s="36" t="inlineStr"/>
      <c r="C20" s="36" t="inlineStr"/>
      <c r="D20" s="36" t="inlineStr"/>
      <c r="E20" s="36" t="inlineStr"/>
    </row>
    <row r="21" ht="15" customHeight="1" s="19">
      <c r="A21" s="37" t="n"/>
      <c r="B21" s="37" t="n"/>
      <c r="C21" s="37" t="n"/>
      <c r="D21" s="37" t="n"/>
      <c r="E21" s="37" t="n"/>
    </row>
    <row r="22" ht="15" customHeight="1" s="19">
      <c r="A22" s="37" t="n"/>
      <c r="B22" s="37" t="n"/>
      <c r="C22" s="37" t="n"/>
      <c r="D22" s="37" t="n"/>
      <c r="E22" s="37" t="n"/>
    </row>
    <row r="23" ht="15" customHeight="1" s="19">
      <c r="A23" s="37" t="n"/>
      <c r="B23" s="37" t="n"/>
      <c r="C23" s="37" t="n"/>
      <c r="D23" s="37" t="n"/>
      <c r="E23" s="37" t="n"/>
    </row>
    <row r="24" ht="15" customHeight="1" s="19">
      <c r="A24" s="37" t="n"/>
      <c r="B24" s="37" t="n"/>
      <c r="C24" s="37" t="n"/>
      <c r="D24" s="37" t="n"/>
      <c r="E24" s="37" t="n"/>
    </row>
    <row r="25" ht="15" customHeight="1" s="19">
      <c r="A25" s="37" t="n"/>
      <c r="B25" s="37" t="n"/>
      <c r="C25" s="37" t="n"/>
      <c r="D25" s="37" t="n"/>
      <c r="E25" s="37" t="n"/>
    </row>
    <row r="26" ht="15" customHeight="1" s="19">
      <c r="A26" s="37" t="n"/>
      <c r="B26" s="37" t="n"/>
      <c r="C26" s="37" t="n"/>
      <c r="D26" s="37" t="n"/>
      <c r="E26" s="37" t="n"/>
    </row>
    <row r="27" ht="15" customHeight="1" s="19">
      <c r="A27" s="37" t="n"/>
      <c r="B27" s="37" t="n"/>
      <c r="C27" s="37" t="n"/>
      <c r="D27" s="37" t="n"/>
      <c r="E27" s="37" t="n"/>
    </row>
    <row r="28" ht="15" customHeight="1" s="19">
      <c r="A28" s="37" t="n"/>
      <c r="B28" s="37" t="n"/>
      <c r="C28" s="37" t="n"/>
      <c r="D28" s="37" t="n"/>
      <c r="E28" s="37" t="n"/>
    </row>
    <row r="29" ht="15" customHeight="1" s="19">
      <c r="A29" s="37" t="n"/>
      <c r="B29" s="37" t="n"/>
      <c r="C29" s="37" t="n"/>
      <c r="D29" s="37" t="n"/>
      <c r="E29" s="37" t="n"/>
    </row>
    <row r="30" ht="15" customHeight="1" s="19">
      <c r="A30" s="37" t="n"/>
      <c r="B30" s="37" t="n"/>
      <c r="C30" s="37" t="n"/>
      <c r="D30" s="37" t="n"/>
      <c r="E30" s="37" t="n"/>
    </row>
    <row r="31" ht="15" customHeight="1" s="19">
      <c r="A31" s="37" t="n"/>
      <c r="B31" s="37" t="n"/>
      <c r="C31" s="37" t="n"/>
      <c r="D31" s="37" t="n"/>
      <c r="E31" s="37" t="n"/>
    </row>
    <row r="32" ht="15" customHeight="1" s="19">
      <c r="A32" s="37" t="n"/>
      <c r="B32" s="37" t="n"/>
      <c r="C32" s="37" t="n"/>
      <c r="D32" s="37" t="n"/>
      <c r="E32" s="37" t="n"/>
    </row>
    <row r="33" ht="15" customHeight="1" s="19">
      <c r="A33" s="37" t="n"/>
      <c r="B33" s="37" t="n"/>
      <c r="C33" s="37" t="n"/>
      <c r="D33" s="37" t="n"/>
      <c r="E33" s="37" t="n"/>
    </row>
    <row r="34" ht="15" customHeight="1" s="19">
      <c r="A34" s="37" t="n"/>
      <c r="B34" s="37" t="n"/>
      <c r="C34" s="37" t="n"/>
      <c r="D34" s="37" t="n"/>
      <c r="E34" s="37" t="n"/>
    </row>
    <row r="35" ht="15" customHeight="1" s="19">
      <c r="A35" s="37" t="n"/>
      <c r="B35" s="37" t="n"/>
      <c r="C35" s="37" t="n"/>
      <c r="D35" s="37" t="n"/>
      <c r="E35" s="37" t="n"/>
    </row>
    <row r="36" ht="15" customHeight="1" s="19">
      <c r="A36" s="37" t="n"/>
      <c r="B36" s="37" t="n"/>
      <c r="C36" s="37" t="n"/>
      <c r="D36" s="37" t="n"/>
      <c r="E36" s="37" t="n"/>
    </row>
    <row r="37" ht="15" customHeight="1" s="19">
      <c r="A37" s="37" t="n"/>
      <c r="B37" s="37" t="n"/>
      <c r="C37" s="37" t="n"/>
      <c r="D37" s="37" t="n"/>
      <c r="E37" s="37" t="n"/>
    </row>
    <row r="38" ht="15" customHeight="1" s="19">
      <c r="A38" s="37" t="n"/>
      <c r="B38" s="37" t="n"/>
      <c r="C38" s="37" t="n"/>
      <c r="D38" s="37" t="n"/>
      <c r="E38" s="37" t="n"/>
    </row>
    <row r="39" ht="15" customHeight="1" s="19">
      <c r="A39" s="37" t="n"/>
      <c r="B39" s="37" t="n"/>
      <c r="C39" s="37" t="n"/>
      <c r="D39" s="37" t="n"/>
      <c r="E39" s="37" t="n"/>
    </row>
    <row r="40" ht="15" customHeight="1" s="19">
      <c r="A40" s="37" t="n"/>
      <c r="B40" s="37" t="n"/>
      <c r="C40" s="37" t="n"/>
      <c r="D40" s="37" t="n"/>
      <c r="E40" s="37" t="n"/>
    </row>
    <row r="41" ht="15" customHeight="1" s="19">
      <c r="A41" s="37" t="n"/>
      <c r="B41" s="37" t="n"/>
      <c r="C41" s="37" t="n"/>
      <c r="D41" s="37" t="n"/>
      <c r="E41" s="37" t="n"/>
    </row>
    <row r="42" ht="15" customHeight="1" s="19">
      <c r="A42" s="37" t="n"/>
      <c r="B42" s="37" t="n"/>
      <c r="C42" s="37" t="n"/>
      <c r="D42" s="37" t="n"/>
      <c r="E42" s="37" t="n"/>
    </row>
    <row r="43" ht="15" customHeight="1" s="19">
      <c r="A43" s="37" t="n"/>
      <c r="B43" s="37" t="n"/>
      <c r="C43" s="37" t="n"/>
      <c r="D43" s="37" t="n"/>
      <c r="E43" s="37" t="n"/>
    </row>
    <row r="44" ht="15" customHeight="1" s="19">
      <c r="A44" s="37" t="n"/>
      <c r="B44" s="37" t="n"/>
      <c r="C44" s="37" t="n"/>
      <c r="D44" s="37" t="n"/>
      <c r="E44" s="37" t="n"/>
    </row>
    <row r="45" ht="15" customHeight="1" s="19">
      <c r="A45" s="37" t="n"/>
      <c r="B45" s="37" t="n"/>
      <c r="C45" s="37" t="n"/>
      <c r="D45" s="37" t="n"/>
      <c r="E45" s="37" t="n"/>
    </row>
    <row r="46" ht="15" customHeight="1" s="19">
      <c r="A46" s="37" t="n"/>
      <c r="B46" s="37" t="n"/>
      <c r="C46" s="37" t="n"/>
      <c r="D46" s="37" t="n"/>
      <c r="E46" s="37" t="n"/>
    </row>
    <row r="47" ht="15" customHeight="1" s="19">
      <c r="A47" s="37" t="n"/>
      <c r="B47" s="37" t="n"/>
      <c r="C47" s="37" t="n"/>
      <c r="D47" s="37" t="n"/>
      <c r="E47" s="3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outlinePr summaryBelow="1" summaryRight="1"/>
    <pageSetUpPr/>
  </sheetPr>
  <dimension ref="A1:F22"/>
  <sheetViews>
    <sheetView workbookViewId="0">
      <pane ySplit="6" topLeftCell="A7" activePane="bottomLeft" state="frozen"/>
      <selection pane="bottomLeft" activeCell="A1" sqref="A1"/>
    </sheetView>
  </sheetViews>
  <sheetFormatPr baseColWidth="8" defaultRowHeight="15"/>
  <cols>
    <col width="18" customWidth="1" style="19" min="1" max="1"/>
    <col width="46" customWidth="1" style="19" min="2" max="2"/>
    <col width="42" customWidth="1" style="19" min="3" max="3"/>
    <col width="16" customWidth="1" style="19" min="4" max="4"/>
    <col width="62" customWidth="1" style="19" min="5" max="5"/>
  </cols>
  <sheetData>
    <row r="1">
      <c r="A1" s="63" t="inlineStr">
        <is>
          <t>L31 · Timings</t>
        </is>
      </c>
    </row>
    <row r="2">
      <c r="A2" s="64" t="inlineStr">
        <is>
          <t>PENDING · BLOCKING · NEW Aug 2026</t>
        </is>
      </c>
    </row>
    <row r="3">
      <c r="A3" s="65" t="inlineStr">
        <is>
          <t>The closed, named set of answers to WHEN may this be paid for and used. One word on an ability, the way a Channel is one word on a vector.</t>
        </is>
      </c>
    </row>
    <row r="4">
      <c r="A4" s="66" t="inlineStr">
        <is>
          <t>KEEP IT TINY. Magic has 2 speeds. Yu-Gi-Oh 3. PF2e 2. D&amp;D 4e had 7 with a substitution hierarchy and it is the recorded failure. The cost is not the number of names — it is the pairwise interactions: 2 names have 1, 7 have 21.</t>
        </is>
      </c>
    </row>
    <row r="6">
      <c r="A6" s="67" t="inlineStr">
        <is>
          <t>Timing</t>
        </is>
      </c>
      <c r="B6" s="67" t="inlineStr">
        <is>
          <t>Means</t>
        </is>
      </c>
      <c r="C6" s="67" t="inlineStr">
        <is>
          <t>Precedent</t>
        </is>
      </c>
      <c r="D6" s="67" t="inlineStr">
        <is>
          <t>Confidence</t>
        </is>
      </c>
      <c r="E6" s="67" t="inlineStr">
        <is>
          <t>Notes</t>
        </is>
      </c>
    </row>
    <row r="7">
      <c r="A7" s="68" t="inlineStr">
        <is>
          <t>bonus action</t>
        </is>
      </c>
      <c r="B7" s="68" t="inlineStr">
        <is>
          <t>cheap AND once per turn AND caster-only</t>
        </is>
      </c>
      <c r="C7" s="68" t="inlineStr">
        <is>
          <t>D&amp;D 5e</t>
        </is>
      </c>
      <c r="D7" s="68" t="inlineStr">
        <is>
          <t>—</t>
        </is>
      </c>
      <c r="E7" s="68" t="inlineStr">
        <is>
          <t>NOT a timing. Three jobs in one word. Its designer: "hot garbage that completely fail to fulfill their intended goal."</t>
        </is>
      </c>
      <c r="F7" s="69" t="inlineStr">
        <is>
          <t>← example, not data</t>
        </is>
      </c>
    </row>
    <row r="8">
      <c r="A8" s="70" t="inlineStr">
        <is>
          <t>own</t>
        </is>
      </c>
      <c r="B8" s="70" t="inlineStr">
        <is>
          <t>Only during a Moment I own</t>
        </is>
      </c>
      <c r="C8" s="70" t="inlineStr">
        <is>
          <t>MTG sorcery speed · PF2e "on your turn"</t>
        </is>
      </c>
      <c r="D8" s="70" t="inlineStr">
        <is>
          <t>HIGH</t>
        </is>
      </c>
      <c r="E8" s="70" t="inlineStr">
        <is>
          <t>The default. Almost everything is this.</t>
        </is>
      </c>
    </row>
    <row r="9">
      <c r="A9" s="70" t="inlineStr">
        <is>
          <t>respond</t>
        </is>
      </c>
      <c r="B9" s="70" t="inlineStr">
        <is>
          <t>Only during a Moment I do NOT own, and only when a stated condition holds</t>
        </is>
      </c>
      <c r="C9" s="70" t="inlineStr">
        <is>
          <t>reaction · Yu-Gi-Oh Spell Speed 2</t>
        </is>
      </c>
      <c r="D9" s="70" t="inlineStr">
        <is>
          <t>HIGH</t>
        </is>
      </c>
      <c r="E9" s="70" t="inlineStr">
        <is>
          <t>This is what "reaction" means. The condition is authored per ability; the timing name is not.</t>
        </is>
      </c>
    </row>
    <row r="10">
      <c r="A10" s="70" t="inlineStr">
        <is>
          <t>pending</t>
        </is>
      </c>
      <c r="B10" s="70" t="inlineStr">
        <is>
          <t>Declared now, resolves at a named later Moment; visible and interruptible meanwhile</t>
        </is>
      </c>
      <c r="C10" s="70" t="inlineStr">
        <is>
          <t>MTG suspend · FFT Charge Time · Exalted Speed</t>
        </is>
      </c>
      <c r="D10" s="70" t="inlineStr">
        <is>
          <t>HIGH</t>
        </is>
      </c>
      <c r="E10" s="70" t="inlineStr">
        <is>
          <t>Free for us — a pending vector is already an Entity and pinning already works. Requirement from the field: the pending thing must be VISIBLE and INTERRUPTIBLE, or it is just a worse instant.</t>
        </is>
      </c>
    </row>
    <row r="11">
      <c r="A11" s="70" t="inlineStr">
        <is>
          <t>any</t>
        </is>
      </c>
      <c r="B11" s="70" t="inlineStr">
        <is>
          <t>During any Moment, mine or not</t>
        </is>
      </c>
      <c r="C11" s="70" t="inlineStr">
        <is>
          <t>MTG instant speed</t>
        </is>
      </c>
      <c r="D11" s="70" t="inlineStr">
        <is>
          <t>MEDIUM</t>
        </is>
      </c>
      <c r="E11" s="70" t="inlineStr">
        <is>
          <t>QUESTION: is this just own + respond with no condition? If so, cut it.</t>
        </is>
      </c>
    </row>
    <row r="12">
      <c r="A12" s="70" t="inlineStr">
        <is>
          <t>interrupt</t>
        </is>
      </c>
      <c r="B12" s="70" t="inlineStr">
        <is>
          <t>As respond, but resolves BEFORE the thing that prompted it, and may prevent it</t>
        </is>
      </c>
      <c r="C12" s="70" t="inlineStr">
        <is>
          <t>D&amp;D 4e immediate interrupt · Yu-Gi-Oh Spell Speed 3</t>
        </is>
      </c>
      <c r="D12" s="70" t="inlineStr">
        <is>
          <t>CONTESTED</t>
        </is>
      </c>
      <c r="E12" s="70" t="inlineStr">
        <is>
          <t>QUESTION: worth its cost? The most satisfying play in any game that has it, and the largest single source of table arguments, because "before" means rewinding something already declared. 4e had it; 5e cut it.</t>
        </is>
      </c>
    </row>
    <row r="13">
      <c r="A13" s="70" t="inlineStr">
        <is>
          <t>standing</t>
        </is>
      </c>
      <c r="B13" s="70" t="inlineStr">
        <is>
          <t>No Moment at all — continuously present while its condition holds</t>
        </is>
      </c>
      <c r="C13" s="70" t="inlineStr">
        <is>
          <t>MTG static abilities</t>
        </is>
      </c>
      <c r="D13" s="70" t="inlineStr">
        <is>
          <t>LOW</t>
        </is>
      </c>
      <c r="E13" s="70" t="inlineStr">
        <is>
          <t>QUESTION: is this a timing at all, or just "this is a Modifier, not an ability"? Leaning CUT.</t>
        </is>
      </c>
    </row>
    <row r="15">
      <c r="A15" s="70" t="inlineStr">
        <is>
          <t>FOUR TO SIX. Every entry must be a WHEN. If it says how much, it is cost. If it says how often, it is cap. If it says "continuously true", it is probably a Modifier or a Guard and does not belong here.</t>
        </is>
      </c>
    </row>
    <row r="17">
      <c r="A17" s="71" t="inlineStr">
        <is>
          <t>CONSIDERED AND REJECTED</t>
        </is>
      </c>
    </row>
    <row r="18">
      <c r="A18" s="72" t="inlineStr">
        <is>
          <t>(the triggered category)</t>
        </is>
      </c>
      <c r="B18" s="72" t="inlineStr"/>
      <c r="C18" s="72" t="inlineStr">
        <is>
          <t>MTG triggered abilities</t>
        </is>
      </c>
      <c r="D18" s="72" t="inlineStr">
        <is>
          <t>—</t>
        </is>
      </c>
      <c r="E18" s="72" t="inlineStr">
        <is>
          <t>NOT a timing — it is a LISTENER. Already class Triggered, already pinned to a later Moment. See L26.</t>
        </is>
      </c>
    </row>
    <row r="19">
      <c r="A19" s="72" t="inlineStr">
        <is>
          <t>(the static category)</t>
        </is>
      </c>
      <c r="B19" s="72" t="inlineStr"/>
      <c r="C19" s="72" t="inlineStr">
        <is>
          <t>MTG static abilities</t>
        </is>
      </c>
      <c r="D19" s="72" t="inlineStr">
        <is>
          <t>—</t>
        </is>
      </c>
      <c r="E19" s="72" t="inlineStr">
        <is>
          <t>NOT a timing — it is a Modifier (R-200/R-300) or a Guard (R-850/R-1050). Never resolved.</t>
        </is>
      </c>
    </row>
    <row r="20">
      <c r="A20" s="72" t="inlineStr">
        <is>
          <t>sustained / concentration</t>
        </is>
      </c>
      <c r="B20" s="72" t="inlineStr"/>
      <c r="C20" s="72" t="inlineStr">
        <is>
          <t>Exalted · D&amp;D concentration</t>
        </is>
      </c>
      <c r="D20" s="72" t="inlineStr">
        <is>
          <t>—</t>
        </is>
      </c>
      <c r="E20" s="72" t="inlineStr">
        <is>
          <t>NOT a timing — it is the committed spend mode plus a Listener. Add the shorthand later only if authoring demands it.</t>
        </is>
      </c>
    </row>
    <row r="21">
      <c r="A21" s="72" t="inlineStr">
        <is>
          <t>free</t>
        </is>
      </c>
      <c r="B21" s="72" t="inlineStr"/>
      <c r="C21" s="72" t="inlineStr">
        <is>
          <t>D&amp;D 4e free action</t>
        </is>
      </c>
      <c r="D21" s="72" t="inlineStr">
        <is>
          <t>—</t>
        </is>
      </c>
      <c r="E21" s="72" t="inlineStr">
        <is>
          <t>NOT a timing — that is cost 0.</t>
        </is>
      </c>
    </row>
    <row r="22">
      <c r="A22" s="72" t="inlineStr">
        <is>
          <t>once per turn</t>
        </is>
      </c>
      <c r="B22" s="72" t="inlineStr"/>
      <c r="C22" s="72" t="inlineStr"/>
      <c r="D22" s="72" t="inlineStr">
        <is>
          <t>—</t>
        </is>
      </c>
      <c r="E22" s="72" t="inlineStr">
        <is>
          <t>NOT a timing — that is cap. Fusing frequency into the name is how bonus action happened.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24"/>
  <sheetViews>
    <sheetView workbookViewId="0">
      <pane ySplit="6" topLeftCell="A7" activePane="bottomLeft" state="frozen"/>
      <selection pane="bottomLeft" activeCell="A1" sqref="A1"/>
    </sheetView>
  </sheetViews>
  <sheetFormatPr baseColWidth="8" defaultRowHeight="15"/>
  <cols>
    <col width="30" customWidth="1" style="19" min="1" max="1"/>
    <col width="40" customWidth="1" style="19" min="2" max="2"/>
    <col width="32" customWidth="1" style="19" min="3" max="3"/>
    <col width="22" customWidth="1" style="19" min="4" max="4"/>
    <col width="62" customWidth="1" style="19" min="5" max="5"/>
  </cols>
  <sheetData>
    <row r="1">
      <c r="A1" s="63" t="inlineStr">
        <is>
          <t>L32 · Moment kinds</t>
        </is>
      </c>
    </row>
    <row r="2">
      <c r="A2" s="64" t="inlineStr">
        <is>
          <t>PENDING · BLOCKING · NEW Aug 2026</t>
        </is>
      </c>
    </row>
    <row r="3">
      <c r="A3" s="65" t="inlineStr">
        <is>
          <t>The named points a vector may be pinned to. Substrate, frozen, additive-only. L31 is defined in terms of these, so this closes first.</t>
        </is>
      </c>
    </row>
    <row r="4">
      <c r="A4" s="66" t="inlineStr">
        <is>
          <t>NOTHING COARSER THAN A ROUND. Downtime weeks, seasons and campaign turns are Components, layered alongside. Second-scale and month-scale content never meet, so they need not be compatible.</t>
        </is>
      </c>
    </row>
    <row r="6">
      <c r="A6" s="67" t="inlineStr">
        <is>
          <t>Moment kind</t>
        </is>
      </c>
      <c r="B6" s="67" t="inlineStr">
        <is>
          <t>Means</t>
        </is>
      </c>
      <c r="C6" s="67" t="inlineStr">
        <is>
          <t>Needed by</t>
        </is>
      </c>
      <c r="D6" s="67" t="inlineStr">
        <is>
          <t>Confidence</t>
        </is>
      </c>
      <c r="E6" s="67" t="inlineStr">
        <is>
          <t>Notes</t>
        </is>
      </c>
    </row>
    <row r="7">
      <c r="A7" s="68" t="inlineStr">
        <is>
          <t>next Tuesday</t>
        </is>
      </c>
      <c r="B7" s="68" t="inlineStr">
        <is>
          <t>a wall-clock date</t>
        </is>
      </c>
      <c r="C7" s="68" t="inlineStr">
        <is>
          <t>—</t>
        </is>
      </c>
      <c r="D7" s="68" t="inlineStr">
        <is>
          <t>—</t>
        </is>
      </c>
      <c r="E7" s="68" t="inlineStr">
        <is>
          <t>NOT a Moment. No wall clock anywhere in the Substrate — logical Moment and Tick only.</t>
        </is>
      </c>
      <c r="F7" s="69" t="inlineStr">
        <is>
          <t>← example, not data</t>
        </is>
      </c>
    </row>
    <row r="8">
      <c r="A8" s="70" t="inlineStr">
        <is>
          <t>turn ownership (mine / not mine)</t>
        </is>
      </c>
      <c r="B8" s="70" t="inlineStr">
        <is>
          <t>Whether the current Moment belongs to this Entity</t>
        </is>
      </c>
      <c r="C8" s="70" t="inlineStr">
        <is>
          <t>L31 respond, interrupt</t>
        </is>
      </c>
      <c r="D8" s="70" t="inlineStr">
        <is>
          <t>SETTLED IN PRINCIPLE</t>
        </is>
      </c>
      <c r="E8" s="70" t="inlineStr">
        <is>
          <t>The load-bearing one. Without ownership as a Substrate concept, a reaction cannot be expressed portably at all, and a reaction is not a genre feature.</t>
        </is>
      </c>
    </row>
    <row r="9">
      <c r="A9" s="70" t="inlineStr">
        <is>
          <t>start of my turn</t>
        </is>
      </c>
      <c r="B9" s="70" t="inlineStr"/>
      <c r="C9" s="70" t="inlineStr">
        <is>
          <t>pinning, Budget refresh</t>
        </is>
      </c>
      <c r="D9" s="70" t="inlineStr">
        <is>
          <t>HIGH</t>
        </is>
      </c>
      <c r="E9" s="70" t="inlineStr"/>
    </row>
    <row r="10">
      <c r="A10" s="70" t="inlineStr">
        <is>
          <t>end of my turn</t>
        </is>
      </c>
      <c r="B10" s="70" t="inlineStr"/>
      <c r="C10" s="70" t="inlineStr">
        <is>
          <t>pinning, duration</t>
        </is>
      </c>
      <c r="D10" s="70" t="inlineStr">
        <is>
          <t>HIGH</t>
        </is>
      </c>
      <c r="E10" s="70" t="inlineStr"/>
    </row>
    <row r="11">
      <c r="A11" s="70" t="inlineStr">
        <is>
          <t>start of a named Entity's turn</t>
        </is>
      </c>
      <c r="B11" s="70" t="inlineStr"/>
      <c r="C11" s="70" t="inlineStr">
        <is>
          <t>pinning to someone else</t>
        </is>
      </c>
      <c r="D11" s="70" t="inlineStr">
        <is>
          <t>HIGH</t>
        </is>
      </c>
      <c r="E11" s="70" t="inlineStr">
        <is>
          <t>A reference, never a computed tick — turn order may change before it arrives.</t>
        </is>
      </c>
    </row>
    <row r="12">
      <c r="A12" s="70" t="inlineStr">
        <is>
          <t>end of a named Entity's turn</t>
        </is>
      </c>
      <c r="B12" s="70" t="inlineStr"/>
      <c r="C12" s="70" t="inlineStr">
        <is>
          <t>pinning to someone else</t>
        </is>
      </c>
      <c r="D12" s="70" t="inlineStr">
        <is>
          <t>HIGH</t>
        </is>
      </c>
      <c r="E12" s="70" t="inlineStr"/>
    </row>
    <row r="13">
      <c r="A13" s="70" t="inlineStr">
        <is>
          <t>start of the round</t>
        </is>
      </c>
      <c r="B13" s="70" t="inlineStr"/>
      <c r="C13" s="70" t="inlineStr">
        <is>
          <t>round-scoped effects</t>
        </is>
      </c>
      <c r="D13" s="70" t="inlineStr">
        <is>
          <t>HIGH</t>
        </is>
      </c>
      <c r="E13" s="70" t="inlineStr"/>
    </row>
    <row r="14">
      <c r="A14" s="70" t="inlineStr">
        <is>
          <t>end of the round</t>
        </is>
      </c>
      <c r="B14" s="70" t="inlineStr"/>
      <c r="C14" s="70" t="inlineStr">
        <is>
          <t>round-scoped effects, cap reset</t>
        </is>
      </c>
      <c r="D14" s="70" t="inlineStr">
        <is>
          <t>HIGH</t>
        </is>
      </c>
      <c r="E14" s="70" t="inlineStr"/>
    </row>
    <row r="15">
      <c r="A15" s="70" t="inlineStr">
        <is>
          <t>immediately</t>
        </is>
      </c>
      <c r="B15" s="70" t="inlineStr">
        <is>
          <t>The current Moment</t>
        </is>
      </c>
      <c r="C15" s="70" t="inlineStr">
        <is>
          <t>respond, interrupt</t>
        </is>
      </c>
      <c r="D15" s="70" t="inlineStr">
        <is>
          <t>HIGH</t>
        </is>
      </c>
      <c r="E15" s="70" t="inlineStr"/>
    </row>
    <row r="16">
      <c r="A16" s="70" t="inlineStr">
        <is>
          <t>entry to Ordered time</t>
        </is>
      </c>
      <c r="B16" s="70" t="inlineStr"/>
      <c r="C16" s="70" t="inlineStr">
        <is>
          <t>Listeners, Budget</t>
        </is>
      </c>
      <c r="D16" s="70" t="inlineStr">
        <is>
          <t>MEDIUM</t>
        </is>
      </c>
      <c r="E16" s="70" t="inlineStr">
        <is>
          <t>WHAT causes entry is base Ruleset, not Substrate — three candidate rules were tried in Phase 0 and each failed on a real case.</t>
        </is>
      </c>
    </row>
    <row r="17">
      <c r="A17" s="70" t="inlineStr">
        <is>
          <t>exit from Ordered time</t>
        </is>
      </c>
      <c r="B17" s="70" t="inlineStr"/>
      <c r="C17" s="70" t="inlineStr">
        <is>
          <t>Listeners, cleanup</t>
        </is>
      </c>
      <c r="D17" s="70" t="inlineStr">
        <is>
          <t>MEDIUM</t>
        </is>
      </c>
      <c r="E17" s="70" t="inlineStr"/>
    </row>
    <row r="19">
      <c r="A19" s="70" t="inlineStr">
        <is>
          <t>ARGUE EACH ONE AGAINST A REAL ABILITY. A Moment kind nobody can name an ability for is a Moment kind that should not be frozen.</t>
        </is>
      </c>
    </row>
    <row r="21">
      <c r="A21" s="71" t="inlineStr">
        <is>
          <t>CONSIDERED AND REJECTED</t>
        </is>
      </c>
    </row>
    <row r="22">
      <c r="A22" s="72" t="inlineStr">
        <is>
          <t>downtime week / season / campaign turn</t>
        </is>
      </c>
      <c r="B22" s="72" t="inlineStr"/>
      <c r="C22" s="72" t="inlineStr"/>
      <c r="D22" s="72" t="inlineStr">
        <is>
          <t>—</t>
        </is>
      </c>
      <c r="E22" s="72" t="inlineStr">
        <is>
          <t>REJECT: Components. A Component ADDS a coarser clock alongside; it never replaces the fine one.</t>
        </is>
      </c>
    </row>
    <row r="23">
      <c r="A23" s="72" t="inlineStr">
        <is>
          <t>"before the attack resolves"</t>
        </is>
      </c>
      <c r="B23" s="72" t="inlineStr"/>
      <c r="C23" s="72" t="inlineStr"/>
      <c r="D23" s="72" t="inlineStr">
        <is>
          <t>—</t>
        </is>
      </c>
      <c r="E23" s="72" t="inlineStr">
        <is>
          <t>ARGUE: this is what interrupt (L31) means, not a Moment kind. Do not encode it twice.</t>
        </is>
      </c>
    </row>
    <row r="24">
      <c r="A24" s="72" t="inlineStr">
        <is>
          <t>tick</t>
        </is>
      </c>
      <c r="B24" s="72" t="inlineStr"/>
      <c r="C24" s="72" t="inlineStr"/>
      <c r="D24" s="72" t="inlineStr">
        <is>
          <t>—</t>
        </is>
      </c>
      <c r="E24" s="72" t="inlineStr">
        <is>
          <t>NOT a Moment kind — the Tick is the STAMP on a Moment when it occurs.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2026-08-16T06:57:22Z</dcterms:created>
  <dcterms:modified xmlns:dcterms="http://purl.org/dc/terms/" xmlns:xsi="http://www.w3.org/2001/XMLSchema-instance" xsi:type="dcterms:W3CDTF">2026-08-17T23:17:23Z</dcterms:modified>
  <cp:revision>0</cp:revision>
</cp:coreProperties>
</file>