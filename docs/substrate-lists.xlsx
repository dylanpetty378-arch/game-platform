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Track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Landing models"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
      <b val="1"/>
      <color rgb="FF1F3864"/>
      <sz val="1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xf numFmtId="0" fontId="11" fillId="9" borderId="1" applyAlignment="1" pivotButton="0" quotePrefix="0" xfId="0">
      <alignment horizontal="general" vertical="bottom"/>
    </xf>
    <xf numFmtId="0" fontId="27" fillId="0" borderId="0" applyAlignment="1" pivotButton="0" quotePrefix="0" xfId="0">
      <alignment horizontal="general" vertical="bottom"/>
    </xf>
    <xf numFmtId="0" fontId="23" fillId="8" borderId="1" applyAlignment="1" pivotButton="0" quotePrefix="0" xfId="0">
      <alignment horizontal="general" vertical="bottom"/>
    </xf>
    <xf numFmtId="0" fontId="8" fillId="9" borderId="1" applyAlignment="1" pivotButton="0" quotePrefix="0" xfId="0">
      <alignment vertical="top" wrapText="1"/>
    </xf>
    <xf numFmtId="0" fontId="7" fillId="9" borderId="1" applyAlignment="1" pivotButton="0" quotePrefix="0" xfId="0">
      <alignment vertical="top" wrapText="1"/>
    </xf>
    <xf numFmtId="0" fontId="6" fillId="0"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wrapText="1"/>
    </xf>
    <xf numFmtId="0" fontId="11" fillId="0" borderId="0" applyAlignment="1" pivotButton="0" quotePrefix="0" xfId="0">
      <alignment vertical="top" wrapText="1"/>
    </xf>
    <xf numFmtId="0" fontId="15" fillId="6" borderId="1" applyAlignment="1" pivotButton="0" quotePrefix="0" xfId="0">
      <alignment horizontal="general" vertical="top" wrapText="1"/>
    </xf>
    <xf numFmtId="0" fontId="15" fillId="6" borderId="1" applyAlignment="1" pivotButton="0" quotePrefix="0" xfId="0">
      <alignment vertical="top" wrapText="1"/>
    </xf>
    <xf numFmtId="0" fontId="15" fillId="6" borderId="0" pivotButton="0" quotePrefix="0" xfId="0"/>
    <xf numFmtId="0" fontId="15" fillId="7" borderId="1" applyAlignment="1" pivotButton="0" quotePrefix="0" xfId="0">
      <alignment vertical="top" wrapText="1"/>
    </xf>
    <xf numFmtId="0" fontId="15" fillId="7" borderId="1" applyAlignment="1" pivotButton="0" quotePrefix="0" xfId="0">
      <alignment horizontal="general" vertical="top" wrapText="1"/>
    </xf>
    <xf numFmtId="0" fontId="15"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8" min="1" max="1"/>
    <col width="28" customWidth="1" style="18" min="2" max="2"/>
    <col width="62" customWidth="1" style="18" min="3" max="3"/>
  </cols>
  <sheetData>
    <row r="1" ht="17.35" customHeight="1" s="19">
      <c r="A1" s="20" t="inlineStr">
        <is>
          <t>The lists workbook</t>
        </is>
      </c>
    </row>
    <row r="2" ht="15" customHeight="1" s="19">
      <c r="A2" s="21" t="inlineStr">
        <is>
          <t>Source of truth: docs/dictionary.md Part 11. PHASE 1 CLOSED, AUGUST 2026 — every blocking list is settled except L6 Verbs, which is drafted and closes in Phase 2 against real content.</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81" t="inlineStr">
        <is>
          <t>Where each list stands</t>
        </is>
      </c>
    </row>
    <row r="11" ht="15" customHeight="1" s="19">
      <c r="A11" s="82" t="inlineStr">
        <is>
          <t>List</t>
        </is>
      </c>
      <c r="B11" s="82" t="inlineStr">
        <is>
          <t>Status</t>
        </is>
      </c>
      <c r="C11" s="82" t="inlineStr">
        <is>
          <t>Note</t>
        </is>
      </c>
    </row>
    <row r="12" ht="15" customHeight="1" s="19">
      <c r="A12" s="83" t="inlineStr">
        <is>
          <t>L21 Dimension Spaces</t>
        </is>
      </c>
      <c r="B12" s="84" t="inlineStr">
        <is>
          <t>SETTLED</t>
        </is>
      </c>
      <c r="C12" s="83" t="inlineStr">
        <is>
          <t>five: physical, mental, social, mystic, attempt</t>
        </is>
      </c>
    </row>
    <row r="13" ht="15" customHeight="1" s="19">
      <c r="A13" s="83" t="inlineStr">
        <is>
          <t>L29 Attempt Domains &amp; Dimensions</t>
        </is>
      </c>
      <c r="B13" s="84" t="inlineStr">
        <is>
          <t>SETTLED</t>
        </is>
      </c>
      <c r="C13" s="83" t="inlineStr">
        <is>
          <t>7 Domains, 15 Dimensions, Specialisations</t>
        </is>
      </c>
    </row>
    <row r="14" ht="15" customHeight="1" s="19">
      <c r="A14" s="83" t="inlineStr">
        <is>
          <t>L22 Dimensions</t>
        </is>
      </c>
      <c r="B14" s="84" t="inlineStr">
        <is>
          <t>SETTLED</t>
        </is>
      </c>
      <c r="C14" s="83" t="inlineStr">
        <is>
          <t>fourteen, sign convention: negative = less of the target</t>
        </is>
      </c>
    </row>
    <row r="15" ht="15" customHeight="1" s="19">
      <c r="A15" s="83" t="inlineStr">
        <is>
          <t>L23 Channels</t>
        </is>
      </c>
      <c r="B15" s="84" t="inlineStr">
        <is>
          <t>SETTLED</t>
        </is>
      </c>
      <c r="C15" s="83" t="inlineStr">
        <is>
          <t>88, hundredths over all fourteen, summing to 100</t>
        </is>
      </c>
    </row>
    <row r="16" ht="15" customHeight="1" s="19">
      <c r="A16" s="83" t="inlineStr">
        <is>
          <t>L32 Moment kinds</t>
        </is>
      </c>
      <c r="B16" s="84" t="inlineStr">
        <is>
          <t>SETTLED</t>
        </is>
      </c>
      <c r="C16" s="83" t="inlineStr">
        <is>
          <t>nine, every reference carrying a round</t>
        </is>
      </c>
    </row>
    <row r="17" ht="15" customHeight="1" s="19">
      <c r="A17" s="83" t="inlineStr">
        <is>
          <t>L31 Timings</t>
        </is>
      </c>
      <c r="B17" s="84" t="inlineStr">
        <is>
          <t>SETTLED</t>
        </is>
      </c>
      <c r="C17" s="83" t="inlineStr">
        <is>
          <t>four: own, any, respond, interrupt — plus trigger</t>
        </is>
      </c>
    </row>
    <row r="18" ht="15" customHeight="1" s="19">
      <c r="A18" s="83" t="inlineStr">
        <is>
          <t>L27 Sockets</t>
        </is>
      </c>
      <c r="B18" s="84" t="inlineStr">
        <is>
          <t>SETTLED</t>
        </is>
      </c>
      <c r="C18" s="83" t="inlineStr">
        <is>
          <t>TWO: Place and Resolution</t>
        </is>
      </c>
    </row>
    <row r="19" ht="15" customHeight="1" s="19">
      <c r="A19" s="83" t="inlineStr">
        <is>
          <t>L28 Economy</t>
        </is>
      </c>
      <c r="B19" s="84" t="inlineStr">
        <is>
          <t>SETTLED</t>
        </is>
      </c>
      <c r="C19" s="83" t="inlineStr">
        <is>
          <t>one unit (doubloon); cost = cost + timing + cap</t>
        </is>
      </c>
    </row>
    <row r="20" ht="15" customHeight="1" s="19">
      <c r="A20" s="83" t="inlineStr">
        <is>
          <t>L1 / L2 / L3</t>
        </is>
      </c>
      <c r="B20" s="84" t="inlineStr">
        <is>
          <t>SETTLED</t>
        </is>
      </c>
      <c r="C20" s="83" t="inlineStr">
        <is>
          <t>nine Categories that compose; eight universal fields</t>
        </is>
      </c>
    </row>
    <row r="21" ht="15" customHeight="1" s="19">
      <c r="A21" s="83" t="inlineStr">
        <is>
          <t>L5 Tracks</t>
        </is>
      </c>
      <c r="B21" s="84" t="inlineStr">
        <is>
          <t>SETTLED</t>
        </is>
      </c>
      <c r="C21" s="83" t="inlineStr">
        <is>
          <t>fourteen, one per Dimension; conditions are BANDS</t>
        </is>
      </c>
    </row>
    <row r="22" ht="15" customHeight="1" s="19">
      <c r="A22" s="83" t="inlineStr">
        <is>
          <t>L18 Aggregation</t>
        </is>
      </c>
      <c r="B22" s="84" t="inlineStr">
        <is>
          <t>SETTLED</t>
        </is>
      </c>
      <c r="C22" s="83" t="inlineStr">
        <is>
          <t>collapsed to four rules by the Track merge</t>
        </is>
      </c>
    </row>
    <row r="23" ht="15" customHeight="1" s="19">
      <c r="A23" s="83" t="inlineStr">
        <is>
          <t>L25 Landing</t>
        </is>
      </c>
      <c r="B23" s="84" t="inlineStr">
        <is>
          <t>SETTLED</t>
        </is>
      </c>
      <c r="C23" s="83" t="inlineStr">
        <is>
          <t>a push lands on the Track the Dimension names</t>
        </is>
      </c>
    </row>
    <row r="24" ht="15" customHeight="1" s="19">
      <c r="A24" s="83" t="inlineStr">
        <is>
          <t>L7 Layers</t>
        </is>
      </c>
      <c r="B24" s="84" t="inlineStr">
        <is>
          <t>SETTLED</t>
        </is>
      </c>
      <c r="C24" s="83" t="inlineStr">
        <is>
          <t>five regions, 41 slots; M- and X- added</t>
        </is>
      </c>
    </row>
    <row r="25">
      <c r="A25" s="76" t="inlineStr">
        <is>
          <t>L26 Listener conditions</t>
        </is>
      </c>
      <c r="B25" s="76" t="inlineStr">
        <is>
          <t>SETTLED</t>
        </is>
      </c>
      <c r="C25" s="76" t="inlineStr">
        <is>
          <t>seven forms; depth 32; halt-and-Record; the Brush</t>
        </is>
      </c>
    </row>
    <row r="26" ht="15" customHeight="1" s="19">
      <c r="A26" s="85" t="inlineStr">
        <is>
          <t>L4 Tags</t>
        </is>
      </c>
      <c r="B26" s="72" t="inlineStr">
        <is>
          <t>PROVISIONAL</t>
        </is>
      </c>
      <c r="C26" s="72" t="inlineStr">
        <is>
          <t>24 chosen (11 Substrate + 13 Ruleset); full field survey in docs/tags-*.md</t>
        </is>
      </c>
    </row>
    <row r="27" ht="15" customHeight="1" s="19">
      <c r="A27" s="86" t="inlineStr">
        <is>
          <t>L6 Verbs</t>
        </is>
      </c>
      <c r="B27" s="87" t="inlineStr">
        <is>
          <t>DRAFTED — CLOSES IN PHASE 2</t>
        </is>
      </c>
      <c r="C27" s="72" t="inlineStr">
        <is>
          <t>Push · Set · Place · Repin · Link · Create · Decide</t>
        </is>
      </c>
    </row>
    <row r="28" ht="15" customHeight="1" s="19">
      <c r="A28" s="88" t="inlineStr">
        <is>
          <t>L10-L13, L19, L20, L24, L30</t>
        </is>
      </c>
      <c r="B28" s="87" t="inlineStr">
        <is>
          <t>PENDING, not blocking</t>
        </is>
      </c>
      <c r="C28" s="72" t="inlineStr">
        <is>
          <t>none of these hold anything up</t>
        </is>
      </c>
    </row>
    <row r="29" ht="15" customHeight="1" s="19">
      <c r="A29" s="29" t="n"/>
      <c r="B29" s="24" t="n"/>
    </row>
    <row r="30" ht="15" customHeight="1" s="19">
      <c r="A30" s="28" t="n"/>
      <c r="B30" s="24" t="n"/>
    </row>
    <row r="32">
      <c r="A32" s="38" t="n"/>
    </row>
    <row r="33">
      <c r="A33" s="39" t="n"/>
    </row>
    <row r="34">
      <c r="A34" s="39" t="n"/>
    </row>
    <row r="35">
      <c r="A35" s="39" t="n"/>
    </row>
    <row r="36">
      <c r="A36" s="39" t="n"/>
    </row>
    <row r="37">
      <c r="A37" s="39" t="n"/>
    </row>
    <row r="38">
      <c r="A38" s="39" t="n"/>
    </row>
    <row r="39">
      <c r="A39" s="39" t="n"/>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(sheets deferred to the Phase 2 paper kit)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24 chosen</t>
        </is>
      </c>
      <c r="C8" s="73">
        <f>COUNTA('L4 Core Tag vocabulary'!A8:A47)</f>
        <v/>
      </c>
      <c r="D8" s="73">
        <f>IF(C8&gt;0,"started","not started")</f>
        <v/>
      </c>
    </row>
    <row r="9" ht="15" customHeight="1" s="19">
      <c r="A9" s="73" t="inlineStr">
        <is>
          <t>L5 · Tracks</t>
        </is>
      </c>
      <c r="B9" s="74" t="inlineStr">
        <is>
          <t>SETTLED · Aug 2026</t>
        </is>
      </c>
      <c r="C9" s="73">
        <f>COUNTA('L5 Tracks'!A8:A47)</f>
        <v/>
      </c>
      <c r="D9" s="73">
        <f>IF(C9&gt;0,"started","not started")</f>
        <v/>
      </c>
    </row>
    <row r="10" ht="15" customHeight="1" s="19">
      <c r="A10" s="26" t="inlineStr">
        <is>
          <t>L6 · Verbs</t>
        </is>
      </c>
      <c r="B10" s="30" t="inlineStr">
        <is>
          <t>DRAFTED · seven · CLOSES IN PHASE 2</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Landing models'!A8:A47)</f>
        <v/>
      </c>
      <c r="D23" s="73">
        <f>IF(C23&gt;0,"started","not started")</f>
        <v/>
      </c>
    </row>
    <row r="24" ht="15" customHeight="1" s="19">
      <c r="A24" s="73" t="inlineStr">
        <is>
          <t>L26 · Listener condition forms</t>
        </is>
      </c>
      <c r="B24" s="80" t="inlineStr">
        <is>
          <t>SETTLED · Aug 2026</t>
        </is>
      </c>
      <c r="C24" s="73">
        <f>COUNTA('L26 Listener condition forms'!A8:A47)</f>
        <v/>
      </c>
      <c r="D24" s="73">
        <f>IF(C24&gt;0,"started","not started")</f>
        <v/>
      </c>
    </row>
    <row r="25" ht="15" customHeight="1" s="19">
      <c r="A25" s="73" t="inlineStr">
        <is>
          <t>L27 · Sockets</t>
        </is>
      </c>
      <c r="B25" s="74" t="inlineStr">
        <is>
          <t>SETTLED · two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eight</t>
        </is>
      </c>
    </row>
    <row r="3">
      <c r="A3" s="65" t="inlineStr">
        <is>
          <t>What EVERY Entity has, no exceptions. Six structural fields plus two Noun slots — capacities and tracks. Tag membership rides the structural tags field; Relationship is an Entity and needs no slot.</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magnitude declared per Tag</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four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tracks</t>
        </is>
      </c>
      <c r="B15" s="76" t="inlineStr">
        <is>
          <t>Noun slot</t>
        </is>
      </c>
      <c r="C15" s="76" t="inlineStr">
        <is>
          <t>Track ID -&gt; current, bounded by a max</t>
        </is>
      </c>
      <c r="D15" s="76" t="inlineStr">
        <is>
          <t>Merged from the old states + resources slots, Aug 2026. Aggregates by CLAMP; named conditions are BANDS on a Track, never things; payable is a flag.</t>
        </is>
      </c>
    </row>
    <row r="17">
      <c r="A17" s="76" t="inlineStr">
        <is>
          <t>RELATIONSHIP NEEDS NO SLOT — it is an Entity.</t>
        </is>
      </c>
    </row>
    <row r="19">
      <c r="A19" s="71" t="inlineStr">
        <is>
          <t>CONSIDERED AND REJECTED</t>
        </is>
      </c>
    </row>
    <row r="20">
      <c r="A20" s="72" t="inlineStr">
        <is>
          <t>exists</t>
        </is>
      </c>
      <c r="B20" s="72" t="inlineStr"/>
      <c r="C20" s="72" t="inlineStr"/>
      <c r="D20" s="72" t="inlineStr">
        <is>
          <t>SPLIT. Destruction is a BAND on a lifecycle Track; retraction is a COMPENSATING RECORD, so the Entity is simply not produced by the Fold. No boolean, no default, no predicate to forget. Under "absent is not zero" a boolean would be three-valued with an INVERTED safe default.</t>
        </is>
      </c>
    </row>
    <row r="21">
      <c r="A21" s="72" t="inlineStr">
        <is>
          <t>location</t>
        </is>
      </c>
      <c r="B21" s="72" t="inlineStr"/>
      <c r="C21" s="72" t="inlineStr"/>
      <c r="D21" s="72" t="inlineStr">
        <is>
          <t>The PLACE SOCKET's Facet. Only the occupant interprets it; the Substrate never needs to.</t>
        </is>
      </c>
    </row>
    <row r="22">
      <c r="A22" s="72" t="inlineStr">
        <is>
          <t>name</t>
        </is>
      </c>
      <c r="B22" s="72" t="inlineStr"/>
      <c r="C22" s="72" t="inlineStr"/>
      <c r="D22" s="72" t="inlineStr">
        <is>
          <t>A LENS concern. Setting-specific, and the likeliest place for rule 10 (PII) to be violated.</t>
        </is>
      </c>
    </row>
    <row r="23">
      <c r="A23" s="72" t="inlineStr">
        <is>
          <t>mass / bulk</t>
        </is>
      </c>
      <c r="B23" s="72" t="inlineStr"/>
      <c r="C23" s="72" t="inlineStr"/>
      <c r="D23" s="72" t="inlineStr">
        <is>
          <t>TAGS, with magnitudes.</t>
        </is>
      </c>
    </row>
    <row r="24">
      <c r="A24" s="72" t="inlineStr">
        <is>
          <t>hardness</t>
        </is>
      </c>
      <c r="B24" s="72" t="inlineStr"/>
      <c r="C24" s="72" t="inlineStr"/>
      <c r="D24" s="72" t="inlineStr">
        <is>
          <t>A FLAT GUARD at R-850. Not an attribute at all.</t>
        </is>
      </c>
    </row>
    <row r="25">
      <c r="A25" s="72" t="inlineStr">
        <is>
          <t>the fourteen Dimensions</t>
        </is>
      </c>
      <c r="B25" s="72" t="inlineStr"/>
      <c r="C25" s="72" t="inlineStr"/>
      <c r="D25" s="72" t="inlineStr">
        <is>
          <t>Axes a VECTOR travels on, never fields on a target.</t>
        </is>
      </c>
    </row>
    <row r="26">
      <c r="A26" s="72" t="inlineStr">
        <is>
          <t>the inverse of any link</t>
        </is>
      </c>
      <c r="B26" s="72" t="inlineStr"/>
      <c r="C26" s="72" t="inlineStr"/>
      <c r="D26" s="72" t="inlineStr">
        <is>
          <t>DERIVED by the Fold. Writing both directions is denormalisation, and denormalisation desyncs.</t>
        </is>
      </c>
    </row>
    <row r="27">
      <c r="A27" s="72" t="inlineStr">
        <is>
          <t>generation / version counter</t>
        </is>
      </c>
      <c r="B27" s="72" t="inlineStr"/>
      <c r="C27" s="72" t="inlineStr"/>
      <c r="D27"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Tracks</t>
        </is>
      </c>
      <c r="D6" s="67" t="inlineStr">
        <is>
          <t>Collapsed axes -&gt; bands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 · vigor · mobility · acuity · composure · clarity · will (+ essence in mystic Settings)</t>
        </is>
      </c>
      <c r="D11" s="76" t="inlineStr">
        <is>
          <t>conditions are bands on these Tracks — prone is a band on mobility</t>
        </is>
      </c>
      <c r="E11" s="76" t="inlineStr">
        <is>
          <t>Specialisations</t>
        </is>
      </c>
    </row>
    <row r="12">
      <c r="A12" s="76" t="inlineStr">
        <is>
          <t>Item</t>
        </is>
      </c>
      <c r="B12" s="76" t="inlineStr">
        <is>
          <t>—</t>
        </is>
      </c>
      <c r="C12" s="76" t="inlineStr">
        <is>
          <t>integrity · substance (+ temperature)</t>
        </is>
      </c>
      <c r="D12" s="76" t="inlineStr">
        <is>
          <t>the old access axis collapsed into bands (L5)</t>
        </is>
      </c>
      <c r="E12" s="76" t="inlineStr">
        <is>
          <t>mass and bulk Tags; Guards</t>
        </is>
      </c>
    </row>
    <row r="13">
      <c r="A13" s="76" t="inlineStr">
        <is>
          <t>Place</t>
        </is>
      </c>
      <c r="B13" s="76" t="inlineStr">
        <is>
          <t>—</t>
        </is>
      </c>
      <c r="C13" s="76" t="inlineStr">
        <is>
          <t>temperature</t>
        </is>
      </c>
      <c r="D13" s="76" t="n"/>
      <c r="E13" s="76" t="inlineStr">
        <is>
          <t>extent and containment, per the Place Socket</t>
        </is>
      </c>
    </row>
    <row r="14">
      <c r="A14" s="76" t="inlineStr">
        <is>
          <t>Group</t>
        </is>
      </c>
      <c r="B14" s="76" t="inlineStr">
        <is>
          <t>the attempt Dimensions IF it also carries Creature</t>
        </is>
      </c>
      <c r="C14" s="76" t="inlineStr">
        <is>
          <t>standing · vitality (as cohesion)</t>
        </is>
      </c>
      <c r="D14" s="76" t="inlineStr">
        <is>
          <t>the old posture axis collapsed into bands (L5)</t>
        </is>
      </c>
      <c r="E14" s="76" t="inlineStr">
        <is>
          <t>membership via member_of</t>
        </is>
      </c>
    </row>
    <row r="15">
      <c r="A15" s="76" t="inlineStr">
        <is>
          <t>Notion</t>
        </is>
      </c>
      <c r="B15" s="76" t="inlineStr">
        <is>
          <t>—</t>
        </is>
      </c>
      <c r="C15" s="76" t="inlineStr">
        <is>
          <t>standing (how believed)</t>
        </is>
      </c>
      <c r="D15" s="76" t="inlineStr">
        <is>
          <t>the old spread axis collapsed into bands (L5)</t>
        </is>
      </c>
      <c r="E15" s="76" t="inlineStr">
        <is>
          <t>provenance. NO location, NO harm pipeline.</t>
        </is>
      </c>
    </row>
    <row r="16">
      <c r="A16" s="76" t="inlineStr">
        <is>
          <t>Phenomenon</t>
        </is>
      </c>
      <c r="B16" s="76" t="inlineStr">
        <is>
          <t>—</t>
        </is>
      </c>
      <c r="C16" s="76" t="inlineStr">
        <is>
          <t>vigor (its fuel) · working (if magical)</t>
        </is>
      </c>
      <c r="D16" s="76" t="inlineStr">
        <is>
          <t>the old intensity axis collapsed into bands (L5)</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PROVISIONAL · Aug 2026 · twenty-four (11 Substrate + 13 Ruleset) · closes against content</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Track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Track — the label expenditure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ADOPTED — magnitude is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DRAFTED · seven · CLOSES LAST, IN PHASE 2</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inlineStr">
        <is>
          <t>Push</t>
        </is>
      </c>
      <c r="B8" s="37" t="inlineStr">
        <is>
          <t>a Track moved by a magnitude</t>
        </is>
      </c>
      <c r="C8" s="37" t="inlineStr">
        <is>
          <t>harm lands; a cost is paid; healing arrives</t>
        </is>
      </c>
      <c r="D8" s="37" t="inlineStr">
        <is>
          <t>No — the fundamental operation</t>
        </is>
      </c>
      <c r="E8" s="37" t="inlineStr">
        <is>
          <t>drafted — argument owed</t>
        </is>
      </c>
    </row>
    <row r="9" ht="15" customHeight="1" s="19">
      <c r="A9" s="37" t="inlineStr">
        <is>
          <t>Set</t>
        </is>
      </c>
      <c r="B9" s="37" t="inlineStr">
        <is>
          <t>a value set outright, not moved</t>
        </is>
      </c>
      <c r="C9" s="37" t="inlineStr">
        <is>
          <t>a door is barred; a flag flips</t>
        </is>
      </c>
      <c r="D9" s="37" t="inlineStr">
        <is>
          <t>Not by Push — absolute, not relative</t>
        </is>
      </c>
      <c r="E9" s="37" t="inlineStr">
        <is>
          <t>drafted — argument owed</t>
        </is>
      </c>
    </row>
    <row r="10" ht="15" customHeight="1" s="19">
      <c r="A10" s="37" t="inlineStr">
        <is>
          <t>Place</t>
        </is>
      </c>
      <c r="B10" s="37" t="inlineStr">
        <is>
          <t>position or containment changed</t>
        </is>
      </c>
      <c r="C10" s="37" t="inlineStr">
        <is>
          <t>a creature moves; a coin enters a purse</t>
        </is>
      </c>
      <c r="D10" s="37" t="inlineStr">
        <is>
          <t>No — a destination is not a magnitude (rule 27)</t>
        </is>
      </c>
      <c r="E10" s="37" t="inlineStr">
        <is>
          <t>drafted — argument owed</t>
        </is>
      </c>
    </row>
    <row r="11" ht="15" customHeight="1" s="19">
      <c r="A11" s="37" t="inlineStr">
        <is>
          <t>Repin</t>
        </is>
      </c>
      <c r="B11" s="37" t="inlineStr">
        <is>
          <t>a pending vector's Moment changed</t>
        </is>
      </c>
      <c r="C11" s="37" t="inlineStr">
        <is>
          <t>a blow is delayed; a spell is hastened</t>
        </is>
      </c>
      <c r="D11" s="37" t="inlineStr">
        <is>
          <t>No — and it must name a doubloon cost (rule 16)</t>
        </is>
      </c>
      <c r="E11" s="37" t="inlineStr">
        <is>
          <t>drafted — reasoning in Part 12</t>
        </is>
      </c>
    </row>
    <row r="12" ht="15" customHeight="1" s="19">
      <c r="A12" s="37" t="inlineStr">
        <is>
          <t>Link</t>
        </is>
      </c>
      <c r="B12" s="37" t="inlineStr">
        <is>
          <t>a (relation, target) pair added or removed</t>
        </is>
      </c>
      <c r="C12" s="37" t="inlineStr">
        <is>
          <t>an oath sworn; a part attached</t>
        </is>
      </c>
      <c r="D12" s="37" t="inlineStr">
        <is>
          <t>No — relations are their own state</t>
        </is>
      </c>
      <c r="E12" s="37" t="inlineStr">
        <is>
          <t>drafted — argument owed</t>
        </is>
      </c>
    </row>
    <row r="13" ht="15" customHeight="1" s="19">
      <c r="A13" s="37" t="inlineStr">
        <is>
          <t>Create</t>
        </is>
      </c>
      <c r="B13" s="37" t="inlineStr">
        <is>
          <t>an Entity exists that did not</t>
        </is>
      </c>
      <c r="C13" s="37" t="inlineStr">
        <is>
          <t>a rumour starts; a wall is conjured</t>
        </is>
      </c>
      <c r="D13" s="37" t="inlineStr">
        <is>
          <t>No — existence precedes every other change</t>
        </is>
      </c>
      <c r="E13" s="37" t="inlineStr">
        <is>
          <t>drafted — argument owed</t>
        </is>
      </c>
    </row>
    <row r="14" ht="15" customHeight="1" s="19">
      <c r="A14" s="37" t="inlineStr">
        <is>
          <t>Decide</t>
        </is>
      </c>
      <c r="B14" s="37" t="inlineStr">
        <is>
          <t>a Proposal resolved</t>
        </is>
      </c>
      <c r="C14" s="37" t="inlineStr">
        <is>
          <t>a player chooses; a default fires</t>
        </is>
      </c>
      <c r="D14" s="37" t="inlineStr">
        <is>
          <t>No — the bridge from pending to actual</t>
        </is>
      </c>
      <c r="E14" s="37" t="inlineStr">
        <is>
          <t>drafted — argument owed</t>
        </is>
      </c>
    </row>
    <row r="15" ht="15" customHeight="1" s="19">
      <c r="A15" s="37" t="n"/>
      <c r="B15" s="37" t="n"/>
      <c r="C15" s="37" t="n"/>
      <c r="D15" s="37" t="n"/>
      <c r="E15" s="37" t="n"/>
    </row>
    <row r="16" ht="15" customHeight="1" s="19">
      <c r="A16" s="37" t="inlineStr">
        <is>
          <t>SUPERSEDES the 19-candidate list. Only Repin and the shape arguments are on record — the per-verb arguments for the other six are OWED before the Phase 2 closing procedure runs.</t>
        </is>
      </c>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temperature, integrity, vitality</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temperature, integrity, substance, vitality, vigor, mobility, acuity</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payable Track,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CANONICAL SOURCE: docs/channels.py — this tab is generated from it; edit there, regenerate here.</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50" t="inlineStr">
        <is>
          <t>FORCE &amp; WEAPONS</t>
        </is>
      </c>
      <c r="B7" s="50" t="inlineStr">
        <is>
          <t>impact</t>
        </is>
      </c>
      <c r="C7" s="50" t="n"/>
      <c r="D7" s="89" t="n">
        <v>-100</v>
      </c>
      <c r="E7" s="50" t="n"/>
      <c r="F7" s="50" t="n"/>
      <c r="G7" s="44" t="n"/>
      <c r="H7" s="60" t="n"/>
      <c r="I7" s="60" t="n"/>
      <c r="J7" s="60" t="n"/>
      <c r="K7" s="60" t="n"/>
      <c r="L7" s="60" t="n"/>
      <c r="M7" s="60" t="n"/>
      <c r="N7" s="60" t="n"/>
      <c r="O7" s="60" t="n"/>
      <c r="P7" s="60" t="n"/>
      <c r="Q7" s="44">
        <f>IF(SUMPRODUCT(ABS(C7:P7))=100,"ok","*** FIX ***")</f>
        <v/>
      </c>
    </row>
    <row r="8" ht="15" customHeight="1" s="19">
      <c r="A8" s="40" t="inlineStr">
        <is>
          <t>FORCE &amp; WEAPONS</t>
        </is>
      </c>
      <c r="B8" s="40" t="inlineStr">
        <is>
          <t>pierce</t>
        </is>
      </c>
      <c r="C8" s="40" t="n"/>
      <c r="D8" s="90" t="n">
        <v>-80</v>
      </c>
      <c r="E8" s="40" t="n"/>
      <c r="F8" s="90" t="n">
        <v>-20</v>
      </c>
      <c r="G8" s="60" t="n"/>
      <c r="H8" s="60" t="n"/>
      <c r="I8" s="60" t="n"/>
      <c r="J8" s="60" t="n"/>
      <c r="K8" s="60" t="n"/>
      <c r="L8" s="60" t="n"/>
      <c r="M8" s="60" t="n"/>
      <c r="N8" s="60" t="n"/>
      <c r="O8" s="60" t="n"/>
      <c r="P8" s="60" t="n"/>
      <c r="Q8" s="44">
        <f>IF(SUMPRODUCT(ABS(C8:P8))=100,"ok","*** FIX ***")</f>
        <v/>
      </c>
    </row>
    <row r="9" ht="15" customHeight="1" s="19">
      <c r="A9" s="40" t="inlineStr">
        <is>
          <t>FORCE &amp; WEAPONS</t>
        </is>
      </c>
      <c r="B9" s="40" t="inlineStr">
        <is>
          <t>rend</t>
        </is>
      </c>
      <c r="C9" s="40" t="n"/>
      <c r="D9" s="90" t="n">
        <v>-60</v>
      </c>
      <c r="E9" s="40" t="n"/>
      <c r="F9" s="90" t="n">
        <v>-40</v>
      </c>
      <c r="G9" s="60" t="n"/>
      <c r="H9" s="60" t="n"/>
      <c r="I9" s="60" t="n"/>
      <c r="J9" s="60" t="n"/>
      <c r="K9" s="60" t="n"/>
      <c r="L9" s="60" t="n"/>
      <c r="M9" s="60" t="n"/>
      <c r="N9" s="60" t="n"/>
      <c r="O9" s="60" t="n"/>
      <c r="P9" s="60" t="n"/>
      <c r="Q9" s="44">
        <f>IF(SUMPRODUCT(ABS(C9:P9))=100,"ok","*** FIX ***")</f>
        <v/>
      </c>
    </row>
    <row r="10" ht="15" customHeight="1" s="19">
      <c r="A10" s="40" t="inlineStr">
        <is>
          <t>FORCE &amp; WEAPONS</t>
        </is>
      </c>
      <c r="B10" s="40" t="inlineStr">
        <is>
          <t>bleed</t>
        </is>
      </c>
      <c r="C10" s="40" t="n"/>
      <c r="D10" s="90" t="n">
        <v>-30</v>
      </c>
      <c r="E10" s="40" t="n"/>
      <c r="F10" s="90" t="n">
        <v>-70</v>
      </c>
      <c r="G10" s="60" t="n"/>
      <c r="H10" s="60" t="n"/>
      <c r="I10" s="60" t="n"/>
      <c r="J10" s="60" t="n"/>
      <c r="K10" s="60" t="n"/>
      <c r="L10" s="60" t="n"/>
      <c r="M10" s="60" t="n"/>
      <c r="N10" s="60" t="n"/>
      <c r="O10" s="60" t="n"/>
      <c r="P10" s="60" t="n"/>
      <c r="Q10" s="44">
        <f>IF(SUMPRODUCT(ABS(C10:P10))=100,"ok","*** FIX ***")</f>
        <v/>
      </c>
    </row>
    <row r="11" ht="15" customHeight="1" s="19">
      <c r="A11" s="40" t="inlineStr">
        <is>
          <t>FORCE &amp; WEAPONS</t>
        </is>
      </c>
      <c r="B11" s="40" t="inlineStr">
        <is>
          <t>crush</t>
        </is>
      </c>
      <c r="C11" s="40" t="n"/>
      <c r="D11" s="90" t="n">
        <v>-70</v>
      </c>
      <c r="E11" s="90" t="n">
        <v>-30</v>
      </c>
      <c r="F11" s="40" t="n"/>
      <c r="G11" s="60" t="n"/>
      <c r="H11" s="60" t="n"/>
      <c r="I11" s="60" t="n"/>
      <c r="J11" s="60" t="n"/>
      <c r="K11" s="60" t="n"/>
      <c r="L11" s="60" t="n"/>
      <c r="M11" s="60" t="n"/>
      <c r="N11" s="60" t="n"/>
      <c r="O11" s="60" t="n"/>
      <c r="P11" s="60" t="n"/>
      <c r="Q11" s="44">
        <f>IF(SUMPRODUCT(ABS(C11:P11))=100,"ok","*** FIX ***")</f>
        <v/>
      </c>
    </row>
    <row r="12" ht="15" customHeight="1" s="19">
      <c r="A12" s="40" t="inlineStr">
        <is>
          <t>FORCE &amp; WEAPONS</t>
        </is>
      </c>
      <c r="B12" s="40" t="inlineStr">
        <is>
          <t>stagger</t>
        </is>
      </c>
      <c r="C12" s="40" t="n"/>
      <c r="D12" s="90" t="n">
        <v>-50</v>
      </c>
      <c r="E12" s="40" t="n"/>
      <c r="F12" s="40" t="n"/>
      <c r="G12" s="91" t="n">
        <v>-50</v>
      </c>
      <c r="H12" s="60" t="n"/>
      <c r="I12" s="60" t="n"/>
      <c r="J12" s="60" t="n"/>
      <c r="K12" s="60" t="n"/>
      <c r="L12" s="60" t="n"/>
      <c r="M12" s="60" t="n"/>
      <c r="N12" s="60" t="n"/>
      <c r="O12" s="60" t="n"/>
      <c r="P12" s="60" t="n"/>
      <c r="Q12" s="44">
        <f>IF(SUMPRODUCT(ABS(C12:P12))=100,"ok","*** FIX ***")</f>
        <v/>
      </c>
    </row>
    <row r="13" ht="15" customHeight="1" s="19">
      <c r="A13" s="40" t="inlineStr">
        <is>
          <t>FORCE &amp; WEAPONS</t>
        </is>
      </c>
      <c r="B13" s="40" t="inlineStr">
        <is>
          <t>concussion</t>
        </is>
      </c>
      <c r="C13" s="40" t="n"/>
      <c r="D13" s="90" t="n">
        <v>-50</v>
      </c>
      <c r="E13" s="40" t="n"/>
      <c r="F13" s="40" t="n"/>
      <c r="G13" s="60" t="n"/>
      <c r="H13" s="60" t="n"/>
      <c r="I13" s="60" t="n"/>
      <c r="J13" s="60" t="n"/>
      <c r="K13" s="91" t="n">
        <v>-50</v>
      </c>
      <c r="L13" s="60" t="n"/>
      <c r="M13" s="60" t="n"/>
      <c r="N13" s="60" t="n"/>
      <c r="O13" s="60" t="n"/>
      <c r="P13" s="60" t="n"/>
      <c r="Q13" s="44">
        <f>IF(SUMPRODUCT(ABS(C13:P13))=100,"ok","*** FIX ***")</f>
        <v/>
      </c>
    </row>
    <row r="14" ht="15" customHeight="1" s="19">
      <c r="A14" s="40" t="inlineStr">
        <is>
          <t>FORCE &amp; WEAPONS</t>
        </is>
      </c>
      <c r="B14" s="40" t="inlineStr">
        <is>
          <t>knockdown</t>
        </is>
      </c>
      <c r="C14" s="40" t="n"/>
      <c r="D14" s="90" t="n">
        <v>-40</v>
      </c>
      <c r="E14" s="40" t="n"/>
      <c r="F14" s="40" t="n"/>
      <c r="G14" s="60" t="n"/>
      <c r="H14" s="91" t="n">
        <v>-60</v>
      </c>
      <c r="I14" s="60" t="n"/>
      <c r="J14" s="60" t="n"/>
      <c r="K14" s="60" t="n"/>
      <c r="L14" s="60" t="n"/>
      <c r="M14" s="60" t="n"/>
      <c r="N14" s="60" t="n"/>
      <c r="O14" s="60" t="n"/>
      <c r="P14" s="60" t="n"/>
      <c r="Q14" s="44">
        <f>IF(SUMPRODUCT(ABS(C14:P14))=100,"ok","*** FIX ***")</f>
        <v/>
      </c>
    </row>
    <row r="15" ht="15" customHeight="1" s="19">
      <c r="A15" s="40" t="inlineStr">
        <is>
          <t>ELEMENTS</t>
        </is>
      </c>
      <c r="B15" s="40" t="inlineStr">
        <is>
          <t>fire</t>
        </is>
      </c>
      <c r="C15" s="92" t="n">
        <v>100</v>
      </c>
      <c r="D15" s="40" t="n"/>
      <c r="E15" s="40" t="n"/>
      <c r="F15" s="40" t="n"/>
      <c r="G15" s="60" t="n"/>
      <c r="H15" s="60" t="n"/>
      <c r="I15" s="60" t="n"/>
      <c r="J15" s="60" t="n"/>
      <c r="K15" s="60" t="n"/>
      <c r="L15" s="60" t="n"/>
      <c r="M15" s="60" t="n"/>
      <c r="N15" s="60" t="n"/>
      <c r="O15" s="60" t="n"/>
      <c r="P15" s="60" t="n"/>
      <c r="Q15" s="44">
        <f>IF(SUMPRODUCT(ABS(C15:P15))=100,"ok","*** FIX ***")</f>
        <v/>
      </c>
    </row>
    <row r="16" ht="15" customHeight="1" s="19">
      <c r="A16" s="40" t="inlineStr">
        <is>
          <t>ELEMENTS</t>
        </is>
      </c>
      <c r="B16" s="40" t="inlineStr">
        <is>
          <t>frost</t>
        </is>
      </c>
      <c r="C16" s="90" t="n">
        <v>-100</v>
      </c>
      <c r="D16" s="40" t="n"/>
      <c r="E16" s="40" t="n"/>
      <c r="F16" s="40" t="n"/>
      <c r="G16" s="60" t="n"/>
      <c r="H16" s="60" t="n"/>
      <c r="I16" s="60" t="n"/>
      <c r="J16" s="60" t="n"/>
      <c r="K16" s="60" t="n"/>
      <c r="L16" s="60" t="n"/>
      <c r="M16" s="60" t="n"/>
      <c r="N16" s="60" t="n"/>
      <c r="O16" s="60" t="n"/>
      <c r="P16" s="60" t="n"/>
      <c r="Q16" s="44">
        <f>IF(SUMPRODUCT(ABS(C16:P16))=100,"ok","*** FIX ***")</f>
        <v/>
      </c>
    </row>
    <row r="17" ht="15" customHeight="1" s="19">
      <c r="A17" s="40" t="inlineStr">
        <is>
          <t>ELEMENTS</t>
        </is>
      </c>
      <c r="B17" s="40" t="inlineStr">
        <is>
          <t>lightning</t>
        </is>
      </c>
      <c r="C17" s="92" t="n">
        <v>30</v>
      </c>
      <c r="D17" s="90" t="n">
        <v>-70</v>
      </c>
      <c r="E17" s="40" t="n"/>
      <c r="F17" s="40" t="n"/>
      <c r="G17" s="60" t="n"/>
      <c r="H17" s="60" t="n"/>
      <c r="I17" s="60" t="n"/>
      <c r="J17" s="60" t="n"/>
      <c r="K17" s="60" t="n"/>
      <c r="L17" s="60" t="n"/>
      <c r="M17" s="60" t="n"/>
      <c r="N17" s="60" t="n"/>
      <c r="O17" s="60" t="n"/>
      <c r="P17" s="60" t="n"/>
      <c r="Q17" s="44">
        <f>IF(SUMPRODUCT(ABS(C17:P17))=100,"ok","*** FIX ***")</f>
        <v/>
      </c>
    </row>
    <row r="18" ht="15" customHeight="1" s="19">
      <c r="A18" s="40" t="inlineStr">
        <is>
          <t>ELEMENTS</t>
        </is>
      </c>
      <c r="B18" s="40" t="inlineStr">
        <is>
          <t>blast</t>
        </is>
      </c>
      <c r="C18" s="92" t="n">
        <v>50</v>
      </c>
      <c r="D18" s="90" t="n">
        <v>-50</v>
      </c>
      <c r="E18" s="40" t="n"/>
      <c r="F18" s="40" t="n"/>
      <c r="G18" s="60" t="n"/>
      <c r="H18" s="60" t="n"/>
      <c r="I18" s="60" t="n"/>
      <c r="J18" s="60" t="n"/>
      <c r="K18" s="60" t="n"/>
      <c r="L18" s="60" t="n"/>
      <c r="M18" s="60" t="n"/>
      <c r="N18" s="60" t="n"/>
      <c r="O18" s="60" t="n"/>
      <c r="P18" s="60" t="n"/>
      <c r="Q18" s="44">
        <f>IF(SUMPRODUCT(ABS(C18:P18))=100,"ok","*** FIX ***")</f>
        <v/>
      </c>
    </row>
    <row r="19" ht="15" customHeight="1" s="19">
      <c r="A19" s="40" t="inlineStr">
        <is>
          <t>ELEMENTS</t>
        </is>
      </c>
      <c r="B19" s="40" t="inlineStr">
        <is>
          <t>shockwave</t>
        </is>
      </c>
      <c r="C19" s="40" t="n"/>
      <c r="D19" s="90" t="n">
        <v>-60</v>
      </c>
      <c r="E19" s="40" t="n"/>
      <c r="F19" s="40" t="n"/>
      <c r="G19" s="60" t="n"/>
      <c r="H19" s="60" t="n"/>
      <c r="I19" s="91" t="n">
        <v>-40</v>
      </c>
      <c r="J19" s="60" t="n"/>
      <c r="K19" s="60" t="n"/>
      <c r="L19" s="60" t="n"/>
      <c r="M19" s="60" t="n"/>
      <c r="N19" s="60" t="n"/>
      <c r="O19" s="60" t="n"/>
      <c r="P19" s="60" t="n"/>
      <c r="Q19" s="44">
        <f>IF(SUMPRODUCT(ABS(C19:P19))=100,"ok","*** FIX ***")</f>
        <v/>
      </c>
    </row>
    <row r="20" ht="15" customHeight="1" s="19">
      <c r="A20" s="57" t="inlineStr">
        <is>
          <t>ELEMENTS</t>
        </is>
      </c>
      <c r="B20" s="57" t="inlineStr">
        <is>
          <t>acid</t>
        </is>
      </c>
      <c r="C20" s="57" t="n"/>
      <c r="D20" s="57" t="n"/>
      <c r="E20" s="89" t="n">
        <v>-100</v>
      </c>
      <c r="F20" s="57" t="n"/>
      <c r="G20" s="60" t="n"/>
      <c r="H20" s="60" t="n"/>
      <c r="I20" s="60" t="n"/>
      <c r="J20" s="60" t="n"/>
      <c r="K20" s="60" t="n"/>
      <c r="L20" s="60" t="n"/>
      <c r="M20" s="60" t="n"/>
      <c r="N20" s="60" t="n"/>
      <c r="O20" s="60" t="n"/>
      <c r="P20" s="60" t="n"/>
      <c r="Q20" s="44">
        <f>IF(SUMPRODUCT(ABS(C20:P20))=100,"ok","*** FIX ***")</f>
        <v/>
      </c>
    </row>
    <row r="21" ht="15" customHeight="1" s="19">
      <c r="A21" s="57" t="inlineStr">
        <is>
          <t>ELEMENTS</t>
        </is>
      </c>
      <c r="B21" s="57" t="inlineStr">
        <is>
          <t>molten</t>
        </is>
      </c>
      <c r="C21" s="93" t="n">
        <v>50</v>
      </c>
      <c r="D21" s="57" t="n"/>
      <c r="E21" s="89" t="n">
        <v>-50</v>
      </c>
      <c r="F21" s="57" t="n"/>
      <c r="G21" s="60" t="n"/>
      <c r="H21" s="60" t="n"/>
      <c r="I21" s="60" t="n"/>
      <c r="J21" s="60" t="n"/>
      <c r="K21" s="60" t="n"/>
      <c r="L21" s="60" t="n"/>
      <c r="M21" s="60" t="n"/>
      <c r="N21" s="60" t="n"/>
      <c r="O21" s="60" t="n"/>
      <c r="P21" s="60" t="n"/>
      <c r="Q21" s="44">
        <f>IF(SUMPRODUCT(ABS(C21:P21))=100,"ok","*** FIX ***")</f>
        <v/>
      </c>
    </row>
    <row r="22" ht="15" customHeight="1" s="19">
      <c r="A22" s="57" t="inlineStr">
        <is>
          <t>ELEMENTS</t>
        </is>
      </c>
      <c r="B22" s="57" t="inlineStr">
        <is>
          <t>scald</t>
        </is>
      </c>
      <c r="C22" s="93" t="n">
        <v>60</v>
      </c>
      <c r="D22" s="57" t="n"/>
      <c r="E22" s="57" t="n"/>
      <c r="F22" s="89" t="n">
        <v>-40</v>
      </c>
      <c r="G22" s="60" t="n"/>
      <c r="H22" s="60" t="n"/>
      <c r="I22" s="60" t="n"/>
      <c r="J22" s="60" t="n"/>
      <c r="K22" s="60" t="n"/>
      <c r="L22" s="60" t="n"/>
      <c r="M22" s="60" t="n"/>
      <c r="N22" s="60" t="n"/>
      <c r="O22" s="60" t="n"/>
      <c r="P22" s="60" t="n"/>
      <c r="Q22" s="44">
        <f>IF(SUMPRODUCT(ABS(C22:P22))=100,"ok","*** FIX ***")</f>
        <v/>
      </c>
    </row>
    <row r="23" ht="15" customHeight="1" s="19">
      <c r="A23" s="57" t="inlineStr">
        <is>
          <t>ELEMENTS</t>
        </is>
      </c>
      <c r="B23" s="57" t="inlineStr">
        <is>
          <t>frostbite</t>
        </is>
      </c>
      <c r="C23" s="89" t="n">
        <v>-50</v>
      </c>
      <c r="D23" s="57" t="n"/>
      <c r="E23" s="57" t="n"/>
      <c r="F23" s="89" t="n">
        <v>-50</v>
      </c>
      <c r="G23" s="60" t="n"/>
      <c r="H23" s="60" t="n"/>
      <c r="I23" s="60" t="n"/>
      <c r="J23" s="60" t="n"/>
      <c r="K23" s="60" t="n"/>
      <c r="L23" s="60" t="n"/>
      <c r="M23" s="60" t="n"/>
      <c r="N23" s="60" t="n"/>
      <c r="O23" s="60" t="n"/>
      <c r="P23" s="60" t="n"/>
      <c r="Q23" s="44">
        <f>IF(SUMPRODUCT(ABS(C23:P23))=100,"ok","*** FIX ***")</f>
        <v/>
      </c>
    </row>
    <row r="24" ht="15" customHeight="1" s="19">
      <c r="A24" s="57" t="inlineStr">
        <is>
          <t>ELEMENTS</t>
        </is>
      </c>
      <c r="B24" s="57" t="inlineStr">
        <is>
          <t>exposure</t>
        </is>
      </c>
      <c r="C24" s="89" t="n">
        <v>-40</v>
      </c>
      <c r="D24" s="57" t="n"/>
      <c r="E24" s="57" t="n"/>
      <c r="F24" s="57" t="n"/>
      <c r="G24" s="91" t="n">
        <v>-60</v>
      </c>
      <c r="H24" s="60" t="n"/>
      <c r="I24" s="60" t="n"/>
      <c r="J24" s="60" t="n"/>
      <c r="K24" s="60" t="n"/>
      <c r="L24" s="60" t="n"/>
      <c r="M24" s="60" t="n"/>
      <c r="N24" s="60" t="n"/>
      <c r="O24" s="60" t="n"/>
      <c r="P24" s="60" t="n"/>
      <c r="Q24" s="44">
        <f>IF(SUMPRODUCT(ABS(C24:P24))=100,"ok","*** FIX ***")</f>
        <v/>
      </c>
    </row>
    <row r="25" ht="15" customHeight="1" s="19">
      <c r="A25" s="57" t="inlineStr">
        <is>
          <t>ELEMENTS</t>
        </is>
      </c>
      <c r="B25" s="57" t="inlineStr">
        <is>
          <t>flash</t>
        </is>
      </c>
      <c r="C25" s="57" t="n"/>
      <c r="D25" s="57" t="n"/>
      <c r="E25" s="57" t="n"/>
      <c r="F25" s="57" t="n"/>
      <c r="G25" s="60" t="n"/>
      <c r="H25" s="60" t="n"/>
      <c r="I25" s="91" t="n">
        <v>-70</v>
      </c>
      <c r="J25" s="60" t="n"/>
      <c r="K25" s="91" t="n">
        <v>-30</v>
      </c>
      <c r="L25" s="60" t="n"/>
      <c r="M25" s="60" t="n"/>
      <c r="N25" s="60" t="n"/>
      <c r="O25" s="60" t="n"/>
      <c r="P25" s="60" t="n"/>
      <c r="Q25" s="44">
        <f>IF(SUMPRODUCT(ABS(C25:P25))=100,"ok","*** FIX ***")</f>
        <v/>
      </c>
    </row>
    <row r="26" ht="15" customHeight="1" s="19">
      <c r="A26" s="57" t="inlineStr">
        <is>
          <t>AFFLICTION</t>
        </is>
      </c>
      <c r="B26" s="57" t="inlineStr">
        <is>
          <t>venom</t>
        </is>
      </c>
      <c r="C26" s="57" t="n"/>
      <c r="D26" s="57" t="n"/>
      <c r="E26" s="57" t="n"/>
      <c r="F26" s="89" t="n">
        <v>-70</v>
      </c>
      <c r="G26" s="60" t="n"/>
      <c r="H26" s="60" t="n"/>
      <c r="I26" s="60" t="n"/>
      <c r="J26" s="60" t="n"/>
      <c r="K26" s="91" t="n">
        <v>-30</v>
      </c>
      <c r="L26" s="60" t="n"/>
      <c r="M26" s="60" t="n"/>
      <c r="N26" s="60" t="n"/>
      <c r="O26" s="60" t="n"/>
      <c r="P26" s="60" t="n"/>
      <c r="Q26" s="44">
        <f>IF(SUMPRODUCT(ABS(C26:P26))=100,"ok","*** FIX ***")</f>
        <v/>
      </c>
    </row>
    <row r="27" ht="15" customHeight="1" s="19">
      <c r="A27" s="57" t="inlineStr">
        <is>
          <t>AFFLICTION</t>
        </is>
      </c>
      <c r="B27" s="57" t="inlineStr">
        <is>
          <t>blight</t>
        </is>
      </c>
      <c r="C27" s="57" t="n"/>
      <c r="D27" s="57" t="n"/>
      <c r="E27" s="89" t="n">
        <v>-50</v>
      </c>
      <c r="F27" s="89" t="n">
        <v>-50</v>
      </c>
      <c r="G27" s="60" t="n"/>
      <c r="H27" s="60" t="n"/>
      <c r="I27" s="60" t="n"/>
      <c r="J27" s="60" t="n"/>
      <c r="K27" s="60" t="n"/>
      <c r="L27" s="60" t="n"/>
      <c r="M27" s="60" t="n"/>
      <c r="N27" s="60" t="n"/>
      <c r="O27" s="60" t="n"/>
      <c r="P27" s="60" t="n"/>
      <c r="Q27" s="44">
        <f>IF(SUMPRODUCT(ABS(C27:P27))=100,"ok","*** FIX ***")</f>
        <v/>
      </c>
    </row>
    <row r="28" ht="15" customHeight="1" s="19">
      <c r="A28" s="57" t="inlineStr">
        <is>
          <t>AFFLICTION</t>
        </is>
      </c>
      <c r="B28" s="57" t="inlineStr">
        <is>
          <t>agony</t>
        </is>
      </c>
      <c r="C28" s="57" t="n"/>
      <c r="D28" s="57" t="n"/>
      <c r="E28" s="57" t="n"/>
      <c r="F28" s="89" t="n">
        <v>-50</v>
      </c>
      <c r="G28" s="60" t="n"/>
      <c r="H28" s="60" t="n"/>
      <c r="I28" s="60" t="n"/>
      <c r="J28" s="60" t="n"/>
      <c r="K28" s="91" t="n">
        <v>-50</v>
      </c>
      <c r="L28" s="60" t="n"/>
      <c r="M28" s="60" t="n"/>
      <c r="N28" s="60" t="n"/>
      <c r="O28" s="60" t="n"/>
      <c r="P28" s="60" t="n"/>
      <c r="Q28" s="44">
        <f>IF(SUMPRODUCT(ABS(C28:P28))=100,"ok","*** FIX ***")</f>
        <v/>
      </c>
    </row>
    <row r="29" ht="15" customHeight="1" s="19">
      <c r="A29" s="57" t="inlineStr">
        <is>
          <t>AFFLICTION</t>
        </is>
      </c>
      <c r="B29" s="57" t="inlineStr">
        <is>
          <t>fatigue</t>
        </is>
      </c>
      <c r="C29" s="57" t="n"/>
      <c r="D29" s="57" t="n"/>
      <c r="E29" s="57" t="n"/>
      <c r="F29" s="57" t="n"/>
      <c r="G29" s="91" t="n">
        <v>-70</v>
      </c>
      <c r="H29" s="60" t="n"/>
      <c r="I29" s="60" t="n"/>
      <c r="J29" s="91" t="n">
        <v>-30</v>
      </c>
      <c r="K29" s="60" t="n"/>
      <c r="L29" s="60" t="n"/>
      <c r="M29" s="60" t="n"/>
      <c r="N29" s="60" t="n"/>
      <c r="O29" s="60" t="n"/>
      <c r="P29" s="60" t="n"/>
      <c r="Q29" s="44">
        <f>IF(SUMPRODUCT(ABS(C29:P29))=100,"ok","*** FIX ***")</f>
        <v/>
      </c>
    </row>
    <row r="30" ht="15" customHeight="1" s="19">
      <c r="A30" s="57" t="inlineStr">
        <is>
          <t>AFFLICTION</t>
        </is>
      </c>
      <c r="B30" s="57" t="inlineStr">
        <is>
          <t>wither</t>
        </is>
      </c>
      <c r="C30" s="57" t="n"/>
      <c r="D30" s="57" t="n"/>
      <c r="E30" s="57" t="n"/>
      <c r="F30" s="89" t="n">
        <v>-60</v>
      </c>
      <c r="G30" s="91" t="n">
        <v>-40</v>
      </c>
      <c r="H30" s="60" t="n"/>
      <c r="I30" s="60" t="n"/>
      <c r="J30" s="60" t="n"/>
      <c r="K30" s="60" t="n"/>
      <c r="L30" s="60" t="n"/>
      <c r="M30" s="60" t="n"/>
      <c r="N30" s="60" t="n"/>
      <c r="O30" s="60" t="n"/>
      <c r="P30" s="60" t="n"/>
      <c r="Q30" s="44">
        <f>IF(SUMPRODUCT(ABS(C30:P30))=100,"ok","*** FIX ***")</f>
        <v/>
      </c>
    </row>
    <row r="31" ht="15" customHeight="1" s="19">
      <c r="A31" s="57" t="inlineStr">
        <is>
          <t>AFFLICTION</t>
        </is>
      </c>
      <c r="B31" s="57" t="inlineStr">
        <is>
          <t>rot</t>
        </is>
      </c>
      <c r="C31" s="57" t="n"/>
      <c r="D31" s="57" t="n"/>
      <c r="E31" s="89" t="n">
        <v>-60</v>
      </c>
      <c r="F31" s="57" t="n"/>
      <c r="G31" s="91" t="n">
        <v>-40</v>
      </c>
      <c r="H31" s="60" t="n"/>
      <c r="I31" s="60" t="n"/>
      <c r="J31" s="60" t="n"/>
      <c r="K31" s="60" t="n"/>
      <c r="L31" s="60" t="n"/>
      <c r="M31" s="60" t="n"/>
      <c r="N31" s="60" t="n"/>
      <c r="O31" s="60" t="n"/>
      <c r="P31" s="60" t="n"/>
      <c r="Q31" s="44">
        <f>IF(SUMPRODUCT(ABS(C31:P31))=100,"ok","*** FIX ***")</f>
        <v/>
      </c>
    </row>
    <row r="32" ht="15" customHeight="1" s="19">
      <c r="A32" s="57" t="inlineStr">
        <is>
          <t>AFFLICTION</t>
        </is>
      </c>
      <c r="B32" s="57" t="inlineStr">
        <is>
          <t>numb</t>
        </is>
      </c>
      <c r="C32" s="57" t="n"/>
      <c r="D32" s="57" t="n"/>
      <c r="E32" s="57" t="n"/>
      <c r="F32" s="57" t="n"/>
      <c r="G32" s="60" t="n"/>
      <c r="H32" s="91" t="n">
        <v>-40</v>
      </c>
      <c r="I32" s="91" t="n">
        <v>-60</v>
      </c>
      <c r="J32" s="60" t="n"/>
      <c r="K32" s="60" t="n"/>
      <c r="L32" s="60" t="n"/>
      <c r="M32" s="60" t="n"/>
      <c r="N32" s="60" t="n"/>
      <c r="O32" s="60" t="n"/>
      <c r="P32" s="60" t="n"/>
      <c r="Q32" s="44">
        <f>IF(SUMPRODUCT(ABS(C32:P32))=100,"ok","*** FIX ***")</f>
        <v/>
      </c>
    </row>
    <row r="33" ht="15" customHeight="1" s="19">
      <c r="A33" s="57" t="inlineStr">
        <is>
          <t>BINDING &amp; MOVEMENT</t>
        </is>
      </c>
      <c r="B33" s="57" t="inlineStr">
        <is>
          <t>slow</t>
        </is>
      </c>
      <c r="C33" s="57" t="n"/>
      <c r="D33" s="57" t="n"/>
      <c r="E33" s="57" t="n"/>
      <c r="F33" s="57" t="n"/>
      <c r="G33" s="60" t="n"/>
      <c r="H33" s="91" t="n">
        <v>-100</v>
      </c>
      <c r="I33" s="60" t="n"/>
      <c r="J33" s="60" t="n"/>
      <c r="K33" s="60" t="n"/>
      <c r="L33" s="60" t="n"/>
      <c r="M33" s="60" t="n"/>
      <c r="N33" s="60" t="n"/>
      <c r="O33" s="60" t="n"/>
      <c r="P33" s="60" t="n"/>
      <c r="Q33" s="44">
        <f>IF(SUMPRODUCT(ABS(C33:P33))=100,"ok","*** FIX ***")</f>
        <v/>
      </c>
    </row>
    <row r="34" ht="15" customHeight="1" s="19">
      <c r="A34" s="57" t="inlineStr">
        <is>
          <t>BINDING &amp; MOVEMENT</t>
        </is>
      </c>
      <c r="B34" s="57" t="inlineStr">
        <is>
          <t>entangle</t>
        </is>
      </c>
      <c r="C34" s="57" t="n"/>
      <c r="D34" s="57" t="n"/>
      <c r="E34" s="57" t="n"/>
      <c r="F34" s="57" t="n"/>
      <c r="G34" s="91" t="n">
        <v>-30</v>
      </c>
      <c r="H34" s="91" t="n">
        <v>-70</v>
      </c>
      <c r="I34" s="60" t="n"/>
      <c r="J34" s="60" t="n"/>
      <c r="K34" s="60" t="n"/>
      <c r="L34" s="60" t="n"/>
      <c r="M34" s="60" t="n"/>
      <c r="N34" s="60" t="n"/>
      <c r="O34" s="60" t="n"/>
      <c r="P34" s="60" t="n"/>
      <c r="Q34" s="44">
        <f>IF(SUMPRODUCT(ABS(C34:P34))=100,"ok","*** FIX ***")</f>
        <v/>
      </c>
    </row>
    <row r="35" ht="15" customHeight="1" s="19">
      <c r="A35" s="57" t="inlineStr">
        <is>
          <t>BINDING &amp; MOVEMENT</t>
        </is>
      </c>
      <c r="B35" s="57" t="inlineStr">
        <is>
          <t>snare</t>
        </is>
      </c>
      <c r="C35" s="57" t="n"/>
      <c r="D35" s="57" t="n"/>
      <c r="E35" s="57" t="n"/>
      <c r="F35" s="89" t="n">
        <v>-20</v>
      </c>
      <c r="G35" s="60" t="n"/>
      <c r="H35" s="91" t="n">
        <v>-80</v>
      </c>
      <c r="I35" s="60" t="n"/>
      <c r="J35" s="60" t="n"/>
      <c r="K35" s="60" t="n"/>
      <c r="L35" s="60" t="n"/>
      <c r="M35" s="60" t="n"/>
      <c r="N35" s="60" t="n"/>
      <c r="O35" s="60" t="n"/>
      <c r="P35" s="60" t="n"/>
      <c r="Q35" s="44">
        <f>IF(SUMPRODUCT(ABS(C35:P35))=100,"ok","*** FIX ***")</f>
        <v/>
      </c>
    </row>
    <row r="36" ht="15" customHeight="1" s="19">
      <c r="A36" s="57" t="inlineStr">
        <is>
          <t>BINDING &amp; MOVEMENT</t>
        </is>
      </c>
      <c r="B36" s="57" t="inlineStr">
        <is>
          <t>cripple</t>
        </is>
      </c>
      <c r="C36" s="57" t="n"/>
      <c r="D36" s="57" t="n"/>
      <c r="E36" s="57" t="n"/>
      <c r="F36" s="89" t="n">
        <v>-40</v>
      </c>
      <c r="G36" s="60" t="n"/>
      <c r="H36" s="91" t="n">
        <v>-60</v>
      </c>
      <c r="I36" s="60" t="n"/>
      <c r="J36" s="60" t="n"/>
      <c r="K36" s="60" t="n"/>
      <c r="L36" s="60" t="n"/>
      <c r="M36" s="60" t="n"/>
      <c r="N36" s="60" t="n"/>
      <c r="O36" s="60" t="n"/>
      <c r="P36" s="60" t="n"/>
      <c r="Q36" s="44">
        <f>IF(SUMPRODUCT(ABS(C36:P36))=100,"ok","*** FIX ***")</f>
        <v/>
      </c>
    </row>
    <row r="37" ht="15" customHeight="1" s="19">
      <c r="A37" s="57" t="inlineStr">
        <is>
          <t>BINDING &amp; MOVEMENT</t>
        </is>
      </c>
      <c r="B37" s="57" t="inlineStr">
        <is>
          <t>pin</t>
        </is>
      </c>
      <c r="C37" s="57" t="n"/>
      <c r="D37" s="89" t="n">
        <v>-50</v>
      </c>
      <c r="E37" s="57" t="n"/>
      <c r="F37" s="57" t="n"/>
      <c r="G37" s="60" t="n"/>
      <c r="H37" s="91" t="n">
        <v>-50</v>
      </c>
      <c r="I37" s="60" t="n"/>
      <c r="J37" s="60" t="n"/>
      <c r="K37" s="60" t="n"/>
      <c r="L37" s="60" t="n"/>
      <c r="M37" s="60" t="n"/>
      <c r="N37" s="60" t="n"/>
      <c r="O37" s="60" t="n"/>
      <c r="P37" s="60" t="n"/>
      <c r="Q37" s="44">
        <f>IF(SUMPRODUCT(ABS(C37:P37))=100,"ok","*** FIX ***")</f>
        <v/>
      </c>
    </row>
    <row r="38" ht="15" customHeight="1" s="19">
      <c r="A38" s="57" t="inlineStr">
        <is>
          <t>BINDING &amp; MOVEMENT</t>
        </is>
      </c>
      <c r="B38" s="57" t="inlineStr">
        <is>
          <t>petrify</t>
        </is>
      </c>
      <c r="C38" s="57" t="n"/>
      <c r="D38" s="93" t="n">
        <v>40</v>
      </c>
      <c r="E38" s="57" t="n"/>
      <c r="F38" s="57" t="n"/>
      <c r="G38" s="60" t="n"/>
      <c r="H38" s="91" t="n">
        <v>-60</v>
      </c>
      <c r="I38" s="60" t="n"/>
      <c r="J38" s="60" t="n"/>
      <c r="K38" s="60" t="n"/>
      <c r="L38" s="60" t="n"/>
      <c r="M38" s="60" t="n"/>
      <c r="N38" s="60" t="n"/>
      <c r="O38" s="60" t="n"/>
      <c r="P38" s="60" t="n"/>
      <c r="Q38" s="44">
        <f>IF(SUMPRODUCT(ABS(C38:P38))=100,"ok","*** FIX ***")</f>
        <v/>
      </c>
    </row>
    <row r="39" ht="15" customHeight="1" s="19">
      <c r="A39" s="57" t="inlineStr">
        <is>
          <t>FEAR &amp; MIND</t>
        </is>
      </c>
      <c r="B39" s="57" t="inlineStr">
        <is>
          <t>dread</t>
        </is>
      </c>
      <c r="C39" s="57" t="n"/>
      <c r="D39" s="57" t="n"/>
      <c r="E39" s="57" t="n"/>
      <c r="F39" s="57" t="n"/>
      <c r="G39" s="60" t="n"/>
      <c r="H39" s="60" t="n"/>
      <c r="I39" s="60" t="n"/>
      <c r="J39" s="91" t="n">
        <v>-100</v>
      </c>
      <c r="K39" s="60" t="n"/>
      <c r="L39" s="60" t="n"/>
      <c r="M39" s="60" t="n"/>
      <c r="N39" s="60" t="n"/>
      <c r="O39" s="60" t="n"/>
      <c r="P39" s="60" t="n"/>
      <c r="Q39" s="44">
        <f>IF(SUMPRODUCT(ABS(C39:P39))=100,"ok","*** FIX ***")</f>
        <v/>
      </c>
    </row>
    <row r="40" ht="15" customHeight="1" s="19">
      <c r="A40" s="57" t="inlineStr">
        <is>
          <t>FEAR &amp; MIND</t>
        </is>
      </c>
      <c r="B40" s="57" t="inlineStr">
        <is>
          <t>terror</t>
        </is>
      </c>
      <c r="C40" s="57" t="n"/>
      <c r="D40" s="57" t="n"/>
      <c r="E40" s="57" t="n"/>
      <c r="F40" s="57" t="n"/>
      <c r="G40" s="91" t="n">
        <v>-30</v>
      </c>
      <c r="H40" s="60" t="n"/>
      <c r="I40" s="60" t="n"/>
      <c r="J40" s="91" t="n">
        <v>-70</v>
      </c>
      <c r="K40" s="60" t="n"/>
      <c r="L40" s="60" t="n"/>
      <c r="M40" s="60" t="n"/>
      <c r="N40" s="60" t="n"/>
      <c r="O40" s="60" t="n"/>
      <c r="P40" s="60" t="n"/>
      <c r="Q40" s="44">
        <f>IF(SUMPRODUCT(ABS(C40:P40))=100,"ok","*** FIX ***")</f>
        <v/>
      </c>
    </row>
    <row r="41" ht="15" customHeight="1" s="19">
      <c r="A41" s="57" t="inlineStr">
        <is>
          <t>FEAR &amp; MIND</t>
        </is>
      </c>
      <c r="B41" s="57" t="inlineStr">
        <is>
          <t>confusion</t>
        </is>
      </c>
      <c r="C41" s="57" t="n"/>
      <c r="D41" s="57" t="n"/>
      <c r="E41" s="57" t="n"/>
      <c r="F41" s="57" t="n"/>
      <c r="G41" s="60" t="n"/>
      <c r="H41" s="60" t="n"/>
      <c r="I41" s="60" t="n"/>
      <c r="J41" s="60" t="n"/>
      <c r="K41" s="91" t="n">
        <v>-100</v>
      </c>
      <c r="L41" s="60" t="n"/>
      <c r="M41" s="60" t="n"/>
      <c r="N41" s="60" t="n"/>
      <c r="O41" s="60" t="n"/>
      <c r="P41" s="60" t="n"/>
      <c r="Q41" s="44">
        <f>IF(SUMPRODUCT(ABS(C41:P41))=100,"ok","*** FIX ***")</f>
        <v/>
      </c>
    </row>
    <row r="42" ht="15" customHeight="1" s="19">
      <c r="A42" s="57" t="inlineStr">
        <is>
          <t>FEAR &amp; MIND</t>
        </is>
      </c>
      <c r="B42" s="57" t="inlineStr">
        <is>
          <t>panic</t>
        </is>
      </c>
      <c r="C42" s="57" t="n"/>
      <c r="D42" s="57" t="n"/>
      <c r="E42" s="57" t="n"/>
      <c r="F42" s="57" t="n"/>
      <c r="G42" s="60" t="n"/>
      <c r="H42" s="60" t="n"/>
      <c r="I42" s="60" t="n"/>
      <c r="J42" s="91" t="n">
        <v>-60</v>
      </c>
      <c r="K42" s="91" t="n">
        <v>-40</v>
      </c>
      <c r="L42" s="60" t="n"/>
      <c r="M42" s="60" t="n"/>
      <c r="N42" s="60" t="n"/>
      <c r="O42" s="60" t="n"/>
      <c r="P42" s="60" t="n"/>
      <c r="Q42" s="44">
        <f>IF(SUMPRODUCT(ABS(C42:P42))=100,"ok","*** FIX ***")</f>
        <v/>
      </c>
    </row>
    <row r="43" ht="15" customHeight="1" s="19">
      <c r="A43" s="57" t="inlineStr">
        <is>
          <t>FEAR &amp; MIND</t>
        </is>
      </c>
      <c r="B43" s="57" t="inlineStr">
        <is>
          <t>charm</t>
        </is>
      </c>
      <c r="C43" s="57" t="n"/>
      <c r="D43" s="57" t="n"/>
      <c r="E43" s="57" t="n"/>
      <c r="F43" s="57" t="n"/>
      <c r="G43" s="60" t="n"/>
      <c r="H43" s="60" t="n"/>
      <c r="I43" s="60" t="n"/>
      <c r="J43" s="60" t="n"/>
      <c r="K43" s="91" t="n">
        <v>-30</v>
      </c>
      <c r="L43" s="91" t="n">
        <v>-70</v>
      </c>
      <c r="M43" s="60" t="n"/>
      <c r="N43" s="60" t="n"/>
      <c r="O43" s="60" t="n"/>
      <c r="P43" s="60" t="n"/>
      <c r="Q43" s="44">
        <f>IF(SUMPRODUCT(ABS(C43:P43))=100,"ok","*** FIX ***")</f>
        <v/>
      </c>
    </row>
    <row r="44" ht="15" customHeight="1" s="19">
      <c r="A44" s="57" t="inlineStr">
        <is>
          <t>FEAR &amp; MIND</t>
        </is>
      </c>
      <c r="B44" s="57" t="inlineStr">
        <is>
          <t>domination</t>
        </is>
      </c>
      <c r="C44" s="57" t="n"/>
      <c r="D44" s="57" t="n"/>
      <c r="E44" s="57" t="n"/>
      <c r="F44" s="57" t="n"/>
      <c r="G44" s="60" t="n"/>
      <c r="H44" s="60" t="n"/>
      <c r="I44" s="60" t="n"/>
      <c r="J44" s="60" t="n"/>
      <c r="K44" s="60" t="n"/>
      <c r="L44" s="91" t="n">
        <v>-100</v>
      </c>
      <c r="M44" s="60" t="n"/>
      <c r="N44" s="60" t="n"/>
      <c r="O44" s="60" t="n"/>
      <c r="P44" s="60" t="n"/>
      <c r="Q44" s="44">
        <f>IF(SUMPRODUCT(ABS(C44:P44))=100,"ok","*** FIX ***")</f>
        <v/>
      </c>
    </row>
    <row r="45" ht="15" customHeight="1" s="19">
      <c r="A45" s="57" t="inlineStr">
        <is>
          <t>FEAR &amp; MIND</t>
        </is>
      </c>
      <c r="B45" s="57" t="inlineStr">
        <is>
          <t>despair</t>
        </is>
      </c>
      <c r="C45" s="57" t="n"/>
      <c r="D45" s="57" t="n"/>
      <c r="E45" s="57" t="n"/>
      <c r="F45" s="57" t="n"/>
      <c r="G45" s="60" t="n"/>
      <c r="H45" s="60" t="n"/>
      <c r="I45" s="60" t="n"/>
      <c r="J45" s="91" t="n">
        <v>-50</v>
      </c>
      <c r="K45" s="60" t="n"/>
      <c r="L45" s="91" t="n">
        <v>-50</v>
      </c>
      <c r="M45" s="60" t="n"/>
      <c r="N45" s="60" t="n"/>
      <c r="O45" s="60" t="n"/>
      <c r="P45" s="60" t="n"/>
      <c r="Q45" s="44">
        <f>IF(SUMPRODUCT(ABS(C45:P45))=100,"ok","*** FIX ***")</f>
        <v/>
      </c>
    </row>
    <row r="46" ht="15" customHeight="1" s="19">
      <c r="A46" s="57" t="inlineStr">
        <is>
          <t>FEAR &amp; MIND</t>
        </is>
      </c>
      <c r="B46" s="57" t="inlineStr">
        <is>
          <t>compel</t>
        </is>
      </c>
      <c r="C46" s="57" t="n"/>
      <c r="D46" s="57" t="n"/>
      <c r="E46" s="57" t="n"/>
      <c r="F46" s="57" t="n"/>
      <c r="G46" s="60" t="n"/>
      <c r="H46" s="60" t="n"/>
      <c r="I46" s="60" t="n"/>
      <c r="J46" s="60" t="n"/>
      <c r="K46" s="60" t="n"/>
      <c r="L46" s="91" t="n">
        <v>-60</v>
      </c>
      <c r="M46" s="60" t="n"/>
      <c r="N46" s="91" t="n">
        <v>-40</v>
      </c>
      <c r="O46" s="60" t="n"/>
      <c r="P46" s="60" t="n"/>
      <c r="Q46" s="44">
        <f>IF(SUMPRODUCT(ABS(C46:P46))=100,"ok","*** FIX ***")</f>
        <v/>
      </c>
    </row>
    <row r="47" ht="15" customHeight="1" s="19">
      <c r="A47" s="57" t="inlineStr">
        <is>
          <t>FEAR &amp; MIND</t>
        </is>
      </c>
      <c r="B47" s="57" t="inlineStr">
        <is>
          <t>daze</t>
        </is>
      </c>
      <c r="C47" s="57" t="n"/>
      <c r="D47" s="57" t="n"/>
      <c r="E47" s="57" t="n"/>
      <c r="F47" s="57" t="n"/>
      <c r="G47" s="60" t="n"/>
      <c r="H47" s="60" t="n"/>
      <c r="I47" s="91" t="n">
        <v>-40</v>
      </c>
      <c r="J47" s="60" t="n"/>
      <c r="K47" s="91" t="n">
        <v>-60</v>
      </c>
      <c r="L47" s="60" t="n"/>
      <c r="M47" s="60" t="n"/>
      <c r="N47" s="60" t="n"/>
      <c r="O47" s="60" t="n"/>
      <c r="P47" s="60" t="n"/>
      <c r="Q47" s="44">
        <f>IF(SUMPRODUCT(ABS(C47:P47))=100,"ok","*** FIX ***")</f>
        <v/>
      </c>
    </row>
    <row r="48">
      <c r="A48" s="60" t="inlineStr">
        <is>
          <t>FEAR &amp; MIND</t>
        </is>
      </c>
      <c r="B48" s="60" t="inlineStr">
        <is>
          <t>madness</t>
        </is>
      </c>
      <c r="C48" s="60" t="n"/>
      <c r="D48" s="60" t="n"/>
      <c r="E48" s="60" t="n"/>
      <c r="F48" s="60" t="n"/>
      <c r="G48" s="60" t="n"/>
      <c r="H48" s="60" t="n"/>
      <c r="I48" s="60" t="n"/>
      <c r="J48" s="91" t="n">
        <v>-50</v>
      </c>
      <c r="K48" s="91" t="n">
        <v>-50</v>
      </c>
      <c r="L48" s="60" t="n"/>
      <c r="M48" s="60" t="n"/>
      <c r="N48" s="60" t="n"/>
      <c r="O48" s="60" t="n"/>
      <c r="P48" s="60" t="n"/>
      <c r="Q48" s="44">
        <f>IF(SUMPRODUCT(ABS(C48:P48))=100,"ok","*** FIX ***")</f>
        <v/>
      </c>
    </row>
    <row r="49">
      <c r="A49" s="60" t="inlineStr">
        <is>
          <t>FEAR &amp; MIND</t>
        </is>
      </c>
      <c r="B49" s="60" t="inlineStr">
        <is>
          <t>transfix</t>
        </is>
      </c>
      <c r="C49" s="60" t="n"/>
      <c r="D49" s="60" t="n"/>
      <c r="E49" s="60" t="n"/>
      <c r="F49" s="60" t="n"/>
      <c r="G49" s="60" t="n"/>
      <c r="H49" s="91" t="n">
        <v>-50</v>
      </c>
      <c r="I49" s="60" t="n"/>
      <c r="J49" s="91" t="n">
        <v>-50</v>
      </c>
      <c r="K49" s="60" t="n"/>
      <c r="L49" s="60" t="n"/>
      <c r="M49" s="60" t="n"/>
      <c r="N49" s="60" t="n"/>
      <c r="O49" s="60" t="n"/>
      <c r="P49" s="60" t="n"/>
      <c r="Q49" s="44">
        <f>IF(SUMPRODUCT(ABS(C49:P49))=100,"ok","*** FIX ***")</f>
        <v/>
      </c>
    </row>
    <row r="50">
      <c r="A50" s="60" t="inlineStr">
        <is>
          <t>STANDING</t>
        </is>
      </c>
      <c r="B50" s="60" t="inlineStr">
        <is>
          <t>praise</t>
        </is>
      </c>
      <c r="C50" s="60" t="n"/>
      <c r="D50" s="60" t="n"/>
      <c r="E50" s="60" t="n"/>
      <c r="F50" s="60" t="n"/>
      <c r="G50" s="60" t="n"/>
      <c r="H50" s="60" t="n"/>
      <c r="I50" s="60" t="n"/>
      <c r="J50" s="60" t="n"/>
      <c r="K50" s="60" t="n"/>
      <c r="L50" s="60" t="n"/>
      <c r="M50" s="94" t="n">
        <v>100</v>
      </c>
      <c r="N50" s="60" t="n"/>
      <c r="O50" s="60" t="n"/>
      <c r="P50" s="60" t="n"/>
      <c r="Q50" s="44">
        <f>IF(SUMPRODUCT(ABS(C50:P50))=100,"ok","*** FIX ***")</f>
        <v/>
      </c>
    </row>
    <row r="51">
      <c r="A51" s="60" t="inlineStr">
        <is>
          <t>STANDING</t>
        </is>
      </c>
      <c r="B51" s="60" t="inlineStr">
        <is>
          <t>scorn</t>
        </is>
      </c>
      <c r="C51" s="60" t="n"/>
      <c r="D51" s="60" t="n"/>
      <c r="E51" s="60" t="n"/>
      <c r="F51" s="60" t="n"/>
      <c r="G51" s="60" t="n"/>
      <c r="H51" s="60" t="n"/>
      <c r="I51" s="60" t="n"/>
      <c r="J51" s="60" t="n"/>
      <c r="K51" s="60" t="n"/>
      <c r="L51" s="60" t="n"/>
      <c r="M51" s="91" t="n">
        <v>-100</v>
      </c>
      <c r="N51" s="60" t="n"/>
      <c r="O51" s="60" t="n"/>
      <c r="P51" s="60" t="n"/>
      <c r="Q51" s="44">
        <f>IF(SUMPRODUCT(ABS(C51:P51))=100,"ok","*** FIX ***")</f>
        <v/>
      </c>
    </row>
    <row r="52">
      <c r="A52" s="60" t="inlineStr">
        <is>
          <t>STANDING</t>
        </is>
      </c>
      <c r="B52" s="60" t="inlineStr">
        <is>
          <t>endorse</t>
        </is>
      </c>
      <c r="C52" s="60" t="n"/>
      <c r="D52" s="60" t="n"/>
      <c r="E52" s="60" t="n"/>
      <c r="F52" s="60" t="n"/>
      <c r="G52" s="60" t="n"/>
      <c r="H52" s="60" t="n"/>
      <c r="I52" s="60" t="n"/>
      <c r="J52" s="60" t="n"/>
      <c r="K52" s="60" t="n"/>
      <c r="L52" s="60" t="n"/>
      <c r="M52" s="60" t="n"/>
      <c r="N52" s="94" t="n">
        <v>100</v>
      </c>
      <c r="O52" s="60" t="n"/>
      <c r="P52" s="60" t="n"/>
      <c r="Q52" s="44">
        <f>IF(SUMPRODUCT(ABS(C52:P52))=100,"ok","*** FIX ***")</f>
        <v/>
      </c>
    </row>
    <row r="53">
      <c r="A53" s="60" t="inlineStr">
        <is>
          <t>STANDING</t>
        </is>
      </c>
      <c r="B53" s="60" t="inlineStr">
        <is>
          <t>discredit</t>
        </is>
      </c>
      <c r="C53" s="60" t="n"/>
      <c r="D53" s="60" t="n"/>
      <c r="E53" s="60" t="n"/>
      <c r="F53" s="60" t="n"/>
      <c r="G53" s="60" t="n"/>
      <c r="H53" s="60" t="n"/>
      <c r="I53" s="60" t="n"/>
      <c r="J53" s="60" t="n"/>
      <c r="K53" s="60" t="n"/>
      <c r="L53" s="60" t="n"/>
      <c r="M53" s="60" t="n"/>
      <c r="N53" s="91" t="n">
        <v>-100</v>
      </c>
      <c r="O53" s="60" t="n"/>
      <c r="P53" s="60" t="n"/>
      <c r="Q53" s="44">
        <f>IF(SUMPRODUCT(ABS(C53:P53))=100,"ok","*** FIX ***")</f>
        <v/>
      </c>
    </row>
    <row r="54">
      <c r="A54" s="60" t="inlineStr">
        <is>
          <t>STANDING</t>
        </is>
      </c>
      <c r="B54" s="60" t="inlineStr">
        <is>
          <t>champion</t>
        </is>
      </c>
      <c r="C54" s="60" t="n"/>
      <c r="D54" s="60" t="n"/>
      <c r="E54" s="60" t="n"/>
      <c r="F54" s="60" t="n"/>
      <c r="G54" s="60" t="n"/>
      <c r="H54" s="60" t="n"/>
      <c r="I54" s="60" t="n"/>
      <c r="J54" s="60" t="n"/>
      <c r="K54" s="60" t="n"/>
      <c r="L54" s="60" t="n"/>
      <c r="M54" s="94" t="n">
        <v>60</v>
      </c>
      <c r="N54" s="94" t="n">
        <v>40</v>
      </c>
      <c r="O54" s="60" t="n"/>
      <c r="P54" s="60" t="n"/>
      <c r="Q54" s="44">
        <f>IF(SUMPRODUCT(ABS(C54:P54))=100,"ok","*** FIX ***")</f>
        <v/>
      </c>
    </row>
    <row r="55">
      <c r="A55" s="60" t="inlineStr">
        <is>
          <t>STANDING</t>
        </is>
      </c>
      <c r="B55" s="60" t="inlineStr">
        <is>
          <t>slander</t>
        </is>
      </c>
      <c r="C55" s="60" t="n"/>
      <c r="D55" s="60" t="n"/>
      <c r="E55" s="60" t="n"/>
      <c r="F55" s="60" t="n"/>
      <c r="G55" s="60" t="n"/>
      <c r="H55" s="60" t="n"/>
      <c r="I55" s="60" t="n"/>
      <c r="J55" s="60" t="n"/>
      <c r="K55" s="60" t="n"/>
      <c r="L55" s="60" t="n"/>
      <c r="M55" s="91" t="n">
        <v>-70</v>
      </c>
      <c r="N55" s="91" t="n">
        <v>-30</v>
      </c>
      <c r="O55" s="60" t="n"/>
      <c r="P55" s="60" t="n"/>
      <c r="Q55" s="44">
        <f>IF(SUMPRODUCT(ABS(C55:P55))=100,"ok","*** FIX ***")</f>
        <v/>
      </c>
    </row>
    <row r="56">
      <c r="A56" s="60" t="inlineStr">
        <is>
          <t>STANDING</t>
        </is>
      </c>
      <c r="B56" s="60" t="inlineStr">
        <is>
          <t>denounce</t>
        </is>
      </c>
      <c r="C56" s="60" t="n"/>
      <c r="D56" s="60" t="n"/>
      <c r="E56" s="60" t="n"/>
      <c r="F56" s="60" t="n"/>
      <c r="G56" s="60" t="n"/>
      <c r="H56" s="60" t="n"/>
      <c r="I56" s="60" t="n"/>
      <c r="J56" s="60" t="n"/>
      <c r="K56" s="60" t="n"/>
      <c r="L56" s="60" t="n"/>
      <c r="M56" s="91" t="n">
        <v>-20</v>
      </c>
      <c r="N56" s="91" t="n">
        <v>-80</v>
      </c>
      <c r="O56" s="60" t="n"/>
      <c r="P56" s="60" t="n"/>
      <c r="Q56" s="44">
        <f>IF(SUMPRODUCT(ABS(C56:P56))=100,"ok","*** FIX ***")</f>
        <v/>
      </c>
    </row>
    <row r="57">
      <c r="A57" s="60" t="inlineStr">
        <is>
          <t>STANDING</t>
        </is>
      </c>
      <c r="B57" s="60" t="inlineStr">
        <is>
          <t>humble</t>
        </is>
      </c>
      <c r="C57" s="60" t="n"/>
      <c r="D57" s="60" t="n"/>
      <c r="E57" s="60" t="n"/>
      <c r="F57" s="60" t="n"/>
      <c r="G57" s="60" t="n"/>
      <c r="H57" s="60" t="n"/>
      <c r="I57" s="60" t="n"/>
      <c r="J57" s="60" t="n"/>
      <c r="K57" s="60" t="n"/>
      <c r="L57" s="60" t="n"/>
      <c r="M57" s="94" t="n">
        <v>50</v>
      </c>
      <c r="N57" s="91" t="n">
        <v>-50</v>
      </c>
      <c r="O57" s="60" t="n"/>
      <c r="P57" s="60" t="n"/>
      <c r="Q57" s="44">
        <f>IF(SUMPRODUCT(ABS(C57:P57))=100,"ok","*** FIX ***")</f>
        <v/>
      </c>
    </row>
    <row r="58">
      <c r="A58" s="60" t="inlineStr">
        <is>
          <t>STANDING</t>
        </is>
      </c>
      <c r="B58" s="60" t="inlineStr">
        <is>
          <t>menace</t>
        </is>
      </c>
      <c r="C58" s="60" t="n"/>
      <c r="D58" s="60" t="n"/>
      <c r="E58" s="60" t="n"/>
      <c r="F58" s="60" t="n"/>
      <c r="G58" s="60" t="n"/>
      <c r="H58" s="60" t="n"/>
      <c r="I58" s="60" t="n"/>
      <c r="J58" s="60" t="n"/>
      <c r="K58" s="60" t="n"/>
      <c r="L58" s="60" t="n"/>
      <c r="M58" s="91" t="n">
        <v>-50</v>
      </c>
      <c r="N58" s="94" t="n">
        <v>50</v>
      </c>
      <c r="O58" s="60" t="n"/>
      <c r="P58" s="60" t="n"/>
      <c r="Q58" s="44">
        <f>IF(SUMPRODUCT(ABS(C58:P58))=100,"ok","*** FIX ***")</f>
        <v/>
      </c>
    </row>
    <row r="59">
      <c r="A59" s="60" t="inlineStr">
        <is>
          <t>STANDING</t>
        </is>
      </c>
      <c r="B59" s="60" t="inlineStr">
        <is>
          <t>humiliate</t>
        </is>
      </c>
      <c r="C59" s="60" t="n"/>
      <c r="D59" s="60" t="n"/>
      <c r="E59" s="60" t="n"/>
      <c r="F59" s="60" t="n"/>
      <c r="G59" s="60" t="n"/>
      <c r="H59" s="60" t="n"/>
      <c r="I59" s="60" t="n"/>
      <c r="J59" s="91" t="n">
        <v>-50</v>
      </c>
      <c r="K59" s="60" t="n"/>
      <c r="L59" s="60" t="n"/>
      <c r="M59" s="60" t="n"/>
      <c r="N59" s="91" t="n">
        <v>-50</v>
      </c>
      <c r="O59" s="60" t="n"/>
      <c r="P59" s="60" t="n"/>
      <c r="Q59" s="44">
        <f>IF(SUMPRODUCT(ABS(C59:P59))=100,"ok","*** FIX ***")</f>
        <v/>
      </c>
    </row>
    <row r="60">
      <c r="A60" s="60" t="inlineStr">
        <is>
          <t>STANDING</t>
        </is>
      </c>
      <c r="B60" s="60" t="inlineStr">
        <is>
          <t>embolden</t>
        </is>
      </c>
      <c r="C60" s="60" t="n"/>
      <c r="D60" s="60" t="n"/>
      <c r="E60" s="60" t="n"/>
      <c r="F60" s="60" t="n"/>
      <c r="G60" s="60" t="n"/>
      <c r="H60" s="60" t="n"/>
      <c r="I60" s="60" t="n"/>
      <c r="J60" s="94" t="n">
        <v>60</v>
      </c>
      <c r="K60" s="60" t="n"/>
      <c r="L60" s="60" t="n"/>
      <c r="M60" s="60" t="n"/>
      <c r="N60" s="94" t="n">
        <v>40</v>
      </c>
      <c r="O60" s="60" t="n"/>
      <c r="P60" s="60" t="n"/>
      <c r="Q60" s="44">
        <f>IF(SUMPRODUCT(ABS(C60:P60))=100,"ok","*** FIX ***")</f>
        <v/>
      </c>
    </row>
    <row r="61">
      <c r="A61" s="60" t="inlineStr">
        <is>
          <t>STANDING</t>
        </is>
      </c>
      <c r="B61" s="60" t="inlineStr">
        <is>
          <t>enthrall</t>
        </is>
      </c>
      <c r="C61" s="60" t="n"/>
      <c r="D61" s="60" t="n"/>
      <c r="E61" s="60" t="n"/>
      <c r="F61" s="60" t="n"/>
      <c r="G61" s="60" t="n"/>
      <c r="H61" s="60" t="n"/>
      <c r="I61" s="60" t="n"/>
      <c r="J61" s="60" t="n"/>
      <c r="K61" s="60" t="n"/>
      <c r="L61" s="91" t="n">
        <v>-50</v>
      </c>
      <c r="M61" s="94" t="n">
        <v>50</v>
      </c>
      <c r="N61" s="60" t="n"/>
      <c r="O61" s="60" t="n"/>
      <c r="P61" s="60" t="n"/>
      <c r="Q61" s="44">
        <f>IF(SUMPRODUCT(ABS(C61:P61))=100,"ok","*** FIX ***")</f>
        <v/>
      </c>
    </row>
    <row r="62">
      <c r="A62" s="60" t="inlineStr">
        <is>
          <t>MYSTIC</t>
        </is>
      </c>
      <c r="B62" s="60" t="inlineStr">
        <is>
          <t>enchant</t>
        </is>
      </c>
      <c r="C62" s="60" t="n"/>
      <c r="D62" s="60" t="n"/>
      <c r="E62" s="60" t="n"/>
      <c r="F62" s="60" t="n"/>
      <c r="G62" s="60" t="n"/>
      <c r="H62" s="60" t="n"/>
      <c r="I62" s="60" t="n"/>
      <c r="J62" s="60" t="n"/>
      <c r="K62" s="60" t="n"/>
      <c r="L62" s="60" t="n"/>
      <c r="M62" s="60" t="n"/>
      <c r="N62" s="60" t="n"/>
      <c r="O62" s="94" t="n">
        <v>100</v>
      </c>
      <c r="P62" s="60" t="n"/>
      <c r="Q62" s="44">
        <f>IF(SUMPRODUCT(ABS(C62:P62))=100,"ok","*** FIX ***")</f>
        <v/>
      </c>
    </row>
    <row r="63">
      <c r="A63" s="60" t="inlineStr">
        <is>
          <t>MYSTIC</t>
        </is>
      </c>
      <c r="B63" s="60" t="inlineStr">
        <is>
          <t>dispel</t>
        </is>
      </c>
      <c r="C63" s="60" t="n"/>
      <c r="D63" s="60" t="n"/>
      <c r="E63" s="60" t="n"/>
      <c r="F63" s="60" t="n"/>
      <c r="G63" s="60" t="n"/>
      <c r="H63" s="60" t="n"/>
      <c r="I63" s="60" t="n"/>
      <c r="J63" s="60" t="n"/>
      <c r="K63" s="60" t="n"/>
      <c r="L63" s="60" t="n"/>
      <c r="M63" s="60" t="n"/>
      <c r="N63" s="60" t="n"/>
      <c r="O63" s="91" t="n">
        <v>-100</v>
      </c>
      <c r="P63" s="60" t="n"/>
      <c r="Q63" s="44">
        <f>IF(SUMPRODUCT(ABS(C63:P63))=100,"ok","*** FIX ***")</f>
        <v/>
      </c>
    </row>
    <row r="64">
      <c r="A64" s="60" t="inlineStr">
        <is>
          <t>MYSTIC</t>
        </is>
      </c>
      <c r="B64" s="60" t="inlineStr">
        <is>
          <t>infuse</t>
        </is>
      </c>
      <c r="C64" s="60" t="n"/>
      <c r="D64" s="60" t="n"/>
      <c r="E64" s="60" t="n"/>
      <c r="F64" s="60" t="n"/>
      <c r="G64" s="60" t="n"/>
      <c r="H64" s="60" t="n"/>
      <c r="I64" s="60" t="n"/>
      <c r="J64" s="60" t="n"/>
      <c r="K64" s="60" t="n"/>
      <c r="L64" s="60" t="n"/>
      <c r="M64" s="60" t="n"/>
      <c r="N64" s="60" t="n"/>
      <c r="O64" s="60" t="n"/>
      <c r="P64" s="94" t="n">
        <v>100</v>
      </c>
      <c r="Q64" s="44">
        <f>IF(SUMPRODUCT(ABS(C64:P64))=100,"ok","*** FIX ***")</f>
        <v/>
      </c>
    </row>
    <row r="65">
      <c r="A65" s="60" t="inlineStr">
        <is>
          <t>MYSTIC</t>
        </is>
      </c>
      <c r="B65" s="60" t="inlineStr">
        <is>
          <t>drain</t>
        </is>
      </c>
      <c r="C65" s="60" t="n"/>
      <c r="D65" s="60" t="n"/>
      <c r="E65" s="60" t="n"/>
      <c r="F65" s="60" t="n"/>
      <c r="G65" s="60" t="n"/>
      <c r="H65" s="60" t="n"/>
      <c r="I65" s="60" t="n"/>
      <c r="J65" s="60" t="n"/>
      <c r="K65" s="60" t="n"/>
      <c r="L65" s="60" t="n"/>
      <c r="M65" s="60" t="n"/>
      <c r="N65" s="60" t="n"/>
      <c r="O65" s="60" t="n"/>
      <c r="P65" s="91" t="n">
        <v>-100</v>
      </c>
      <c r="Q65" s="44">
        <f>IF(SUMPRODUCT(ABS(C65:P65))=100,"ok","*** FIX ***")</f>
        <v/>
      </c>
    </row>
    <row r="66">
      <c r="A66" s="60" t="inlineStr">
        <is>
          <t>MYSTIC</t>
        </is>
      </c>
      <c r="B66" s="60" t="inlineStr">
        <is>
          <t>ward</t>
        </is>
      </c>
      <c r="C66" s="60" t="n"/>
      <c r="D66" s="60" t="n"/>
      <c r="E66" s="60" t="n"/>
      <c r="F66" s="60" t="n"/>
      <c r="G66" s="60" t="n"/>
      <c r="H66" s="60" t="n"/>
      <c r="I66" s="60" t="n"/>
      <c r="J66" s="60" t="n"/>
      <c r="K66" s="60" t="n"/>
      <c r="L66" s="60" t="n"/>
      <c r="M66" s="60" t="n"/>
      <c r="N66" s="60" t="n"/>
      <c r="O66" s="94" t="n">
        <v>60</v>
      </c>
      <c r="P66" s="94" t="n">
        <v>40</v>
      </c>
      <c r="Q66" s="44">
        <f>IF(SUMPRODUCT(ABS(C66:P66))=100,"ok","*** FIX ***")</f>
        <v/>
      </c>
    </row>
    <row r="67">
      <c r="A67" s="60" t="inlineStr">
        <is>
          <t>MYSTIC</t>
        </is>
      </c>
      <c r="B67" s="60" t="inlineStr">
        <is>
          <t>siphon</t>
        </is>
      </c>
      <c r="C67" s="60" t="n"/>
      <c r="D67" s="60" t="n"/>
      <c r="E67" s="60" t="n"/>
      <c r="F67" s="60" t="n"/>
      <c r="G67" s="60" t="n"/>
      <c r="H67" s="60" t="n"/>
      <c r="I67" s="60" t="n"/>
      <c r="J67" s="60" t="n"/>
      <c r="K67" s="60" t="n"/>
      <c r="L67" s="60" t="n"/>
      <c r="M67" s="60" t="n"/>
      <c r="N67" s="60" t="n"/>
      <c r="O67" s="91" t="n">
        <v>-50</v>
      </c>
      <c r="P67" s="91" t="n">
        <v>-50</v>
      </c>
      <c r="Q67" s="44">
        <f>IF(SUMPRODUCT(ABS(C67:P67))=100,"ok","*** FIX ***")</f>
        <v/>
      </c>
    </row>
    <row r="68">
      <c r="A68" s="60" t="inlineStr">
        <is>
          <t>MYSTIC</t>
        </is>
      </c>
      <c r="B68" s="60" t="inlineStr">
        <is>
          <t>bind</t>
        </is>
      </c>
      <c r="C68" s="60" t="n"/>
      <c r="D68" s="60" t="n"/>
      <c r="E68" s="60" t="n"/>
      <c r="F68" s="60" t="n"/>
      <c r="G68" s="60" t="n"/>
      <c r="H68" s="60" t="n"/>
      <c r="I68" s="60" t="n"/>
      <c r="J68" s="60" t="n"/>
      <c r="K68" s="60" t="n"/>
      <c r="L68" s="60" t="n"/>
      <c r="M68" s="60" t="n"/>
      <c r="N68" s="60" t="n"/>
      <c r="O68" s="94" t="n">
        <v>70</v>
      </c>
      <c r="P68" s="91" t="n">
        <v>-30</v>
      </c>
      <c r="Q68" s="44">
        <f>IF(SUMPRODUCT(ABS(C68:P68))=100,"ok","*** FIX ***")</f>
        <v/>
      </c>
    </row>
    <row r="69">
      <c r="A69" s="60" t="inlineStr">
        <is>
          <t>MYSTIC</t>
        </is>
      </c>
      <c r="B69" s="60" t="inlineStr">
        <is>
          <t>surge</t>
        </is>
      </c>
      <c r="C69" s="60" t="n"/>
      <c r="D69" s="60" t="n"/>
      <c r="E69" s="60" t="n"/>
      <c r="F69" s="60" t="n"/>
      <c r="G69" s="60" t="n"/>
      <c r="H69" s="60" t="n"/>
      <c r="I69" s="60" t="n"/>
      <c r="J69" s="60" t="n"/>
      <c r="K69" s="60" t="n"/>
      <c r="L69" s="60" t="n"/>
      <c r="M69" s="60" t="n"/>
      <c r="N69" s="60" t="n"/>
      <c r="O69" s="91" t="n">
        <v>-40</v>
      </c>
      <c r="P69" s="94" t="n">
        <v>60</v>
      </c>
      <c r="Q69" s="44">
        <f>IF(SUMPRODUCT(ABS(C69:P69))=100,"ok","*** FIX ***")</f>
        <v/>
      </c>
    </row>
    <row r="70">
      <c r="A70" s="60" t="inlineStr">
        <is>
          <t>MYSTIC</t>
        </is>
      </c>
      <c r="B70" s="60" t="inlineStr">
        <is>
          <t>curse</t>
        </is>
      </c>
      <c r="C70" s="60" t="n"/>
      <c r="D70" s="60" t="n"/>
      <c r="E70" s="60" t="n"/>
      <c r="F70" s="91" t="n">
        <v>-30</v>
      </c>
      <c r="G70" s="60" t="n"/>
      <c r="H70" s="60" t="n"/>
      <c r="I70" s="60" t="n"/>
      <c r="J70" s="60" t="n"/>
      <c r="K70" s="60" t="n"/>
      <c r="L70" s="60" t="n"/>
      <c r="M70" s="91" t="n">
        <v>-30</v>
      </c>
      <c r="N70" s="60" t="n"/>
      <c r="O70" s="94" t="n">
        <v>40</v>
      </c>
      <c r="P70" s="60" t="n"/>
      <c r="Q70" s="44">
        <f>IF(SUMPRODUCT(ABS(C70:P70))=100,"ok","*** FIX ***")</f>
        <v/>
      </c>
    </row>
    <row r="71">
      <c r="A71" s="60" t="inlineStr">
        <is>
          <t>MYSTIC</t>
        </is>
      </c>
      <c r="B71" s="60" t="inlineStr">
        <is>
          <t>blessing</t>
        </is>
      </c>
      <c r="C71" s="60" t="n"/>
      <c r="D71" s="60" t="n"/>
      <c r="E71" s="60" t="n"/>
      <c r="F71" s="94" t="n">
        <v>30</v>
      </c>
      <c r="G71" s="60" t="n"/>
      <c r="H71" s="60" t="n"/>
      <c r="I71" s="60" t="n"/>
      <c r="J71" s="94" t="n">
        <v>30</v>
      </c>
      <c r="K71" s="60" t="n"/>
      <c r="L71" s="60" t="n"/>
      <c r="M71" s="60" t="n"/>
      <c r="N71" s="60" t="n"/>
      <c r="O71" s="94" t="n">
        <v>40</v>
      </c>
      <c r="P71" s="60" t="n"/>
      <c r="Q71" s="44">
        <f>IF(SUMPRODUCT(ABS(C71:P71))=100,"ok","*** FIX ***")</f>
        <v/>
      </c>
    </row>
    <row r="72">
      <c r="A72" s="60" t="inlineStr">
        <is>
          <t>MYSTIC</t>
        </is>
      </c>
      <c r="B72" s="60" t="inlineStr">
        <is>
          <t>soulburn</t>
        </is>
      </c>
      <c r="C72" s="60" t="n"/>
      <c r="D72" s="60" t="n"/>
      <c r="E72" s="60" t="n"/>
      <c r="F72" s="91" t="n">
        <v>-40</v>
      </c>
      <c r="G72" s="60" t="n"/>
      <c r="H72" s="60" t="n"/>
      <c r="I72" s="60" t="n"/>
      <c r="J72" s="60" t="n"/>
      <c r="K72" s="60" t="n"/>
      <c r="L72" s="60" t="n"/>
      <c r="M72" s="60" t="n"/>
      <c r="N72" s="60" t="n"/>
      <c r="O72" s="60" t="n"/>
      <c r="P72" s="91" t="n">
        <v>-60</v>
      </c>
      <c r="Q72" s="44">
        <f>IF(SUMPRODUCT(ABS(C72:P72))=100,"ok","*** FIX ***")</f>
        <v/>
      </c>
    </row>
    <row r="73">
      <c r="A73" s="60" t="inlineStr">
        <is>
          <t>MYSTIC</t>
        </is>
      </c>
      <c r="B73" s="60" t="inlineStr">
        <is>
          <t>hallow</t>
        </is>
      </c>
      <c r="C73" s="60" t="n"/>
      <c r="D73" s="60" t="n"/>
      <c r="E73" s="60" t="n"/>
      <c r="F73" s="60" t="n"/>
      <c r="G73" s="60" t="n"/>
      <c r="H73" s="60" t="n"/>
      <c r="I73" s="60" t="n"/>
      <c r="J73" s="94" t="n">
        <v>40</v>
      </c>
      <c r="K73" s="60" t="n"/>
      <c r="L73" s="60" t="n"/>
      <c r="M73" s="60" t="n"/>
      <c r="N73" s="60" t="n"/>
      <c r="O73" s="94" t="n">
        <v>60</v>
      </c>
      <c r="P73" s="60" t="n"/>
      <c r="Q73" s="44">
        <f>IF(SUMPRODUCT(ABS(C73:P73))=100,"ok","*** FIX ***")</f>
        <v/>
      </c>
    </row>
    <row r="74">
      <c r="A74" s="60" t="inlineStr">
        <is>
          <t>RESTORE &amp; PROTECT</t>
        </is>
      </c>
      <c r="B74" s="60" t="inlineStr">
        <is>
          <t>mend</t>
        </is>
      </c>
      <c r="C74" s="60" t="n"/>
      <c r="D74" s="60" t="n"/>
      <c r="E74" s="60" t="n"/>
      <c r="F74" s="94" t="n">
        <v>100</v>
      </c>
      <c r="G74" s="60" t="n"/>
      <c r="H74" s="60" t="n"/>
      <c r="I74" s="60" t="n"/>
      <c r="J74" s="60" t="n"/>
      <c r="K74" s="60" t="n"/>
      <c r="L74" s="60" t="n"/>
      <c r="M74" s="60" t="n"/>
      <c r="N74" s="60" t="n"/>
      <c r="O74" s="60" t="n"/>
      <c r="P74" s="60" t="n"/>
      <c r="Q74" s="44">
        <f>IF(SUMPRODUCT(ABS(C74:P74))=100,"ok","*** FIX ***")</f>
        <v/>
      </c>
    </row>
    <row r="75">
      <c r="A75" s="60" t="inlineStr">
        <is>
          <t>RESTORE &amp; PROTECT</t>
        </is>
      </c>
      <c r="B75" s="60" t="inlineStr">
        <is>
          <t>rally</t>
        </is>
      </c>
      <c r="C75" s="60" t="n"/>
      <c r="D75" s="60" t="n"/>
      <c r="E75" s="60" t="n"/>
      <c r="F75" s="60" t="n"/>
      <c r="G75" s="94" t="n">
        <v>100</v>
      </c>
      <c r="H75" s="60" t="n"/>
      <c r="I75" s="60" t="n"/>
      <c r="J75" s="60" t="n"/>
      <c r="K75" s="60" t="n"/>
      <c r="L75" s="60" t="n"/>
      <c r="M75" s="60" t="n"/>
      <c r="N75" s="60" t="n"/>
      <c r="O75" s="60" t="n"/>
      <c r="P75" s="60" t="n"/>
      <c r="Q75" s="44">
        <f>IF(SUMPRODUCT(ABS(C75:P75))=100,"ok","*** FIX ***")</f>
        <v/>
      </c>
    </row>
    <row r="76">
      <c r="A76" s="60" t="inlineStr">
        <is>
          <t>RESTORE &amp; PROTECT</t>
        </is>
      </c>
      <c r="B76" s="60" t="inlineStr">
        <is>
          <t>courage</t>
        </is>
      </c>
      <c r="C76" s="60" t="n"/>
      <c r="D76" s="60" t="n"/>
      <c r="E76" s="60" t="n"/>
      <c r="F76" s="60" t="n"/>
      <c r="G76" s="60" t="n"/>
      <c r="H76" s="60" t="n"/>
      <c r="I76" s="60" t="n"/>
      <c r="J76" s="94" t="n">
        <v>100</v>
      </c>
      <c r="K76" s="60" t="n"/>
      <c r="L76" s="60" t="n"/>
      <c r="M76" s="60" t="n"/>
      <c r="N76" s="60" t="n"/>
      <c r="O76" s="60" t="n"/>
      <c r="P76" s="60" t="n"/>
      <c r="Q76" s="44">
        <f>IF(SUMPRODUCT(ABS(C76:P76))=100,"ok","*** FIX ***")</f>
        <v/>
      </c>
    </row>
    <row r="77">
      <c r="A77" s="60" t="inlineStr">
        <is>
          <t>RESTORE &amp; PROTECT</t>
        </is>
      </c>
      <c r="B77" s="60" t="inlineStr">
        <is>
          <t>lucidity</t>
        </is>
      </c>
      <c r="C77" s="60" t="n"/>
      <c r="D77" s="60" t="n"/>
      <c r="E77" s="60" t="n"/>
      <c r="F77" s="60" t="n"/>
      <c r="G77" s="60" t="n"/>
      <c r="H77" s="60" t="n"/>
      <c r="I77" s="60" t="n"/>
      <c r="J77" s="60" t="n"/>
      <c r="K77" s="94" t="n">
        <v>100</v>
      </c>
      <c r="L77" s="60" t="n"/>
      <c r="M77" s="60" t="n"/>
      <c r="N77" s="60" t="n"/>
      <c r="O77" s="60" t="n"/>
      <c r="P77" s="60" t="n"/>
      <c r="Q77" s="44">
        <f>IF(SUMPRODUCT(ABS(C77:P77))=100,"ok","*** FIX ***")</f>
        <v/>
      </c>
    </row>
    <row r="78">
      <c r="A78" s="60" t="inlineStr">
        <is>
          <t>RESTORE &amp; PROTECT</t>
        </is>
      </c>
      <c r="B78" s="60" t="inlineStr">
        <is>
          <t>unbind</t>
        </is>
      </c>
      <c r="C78" s="60" t="n"/>
      <c r="D78" s="60" t="n"/>
      <c r="E78" s="60" t="n"/>
      <c r="F78" s="60" t="n"/>
      <c r="G78" s="60" t="n"/>
      <c r="H78" s="60" t="n"/>
      <c r="I78" s="60" t="n"/>
      <c r="J78" s="60" t="n"/>
      <c r="K78" s="60" t="n"/>
      <c r="L78" s="94" t="n">
        <v>100</v>
      </c>
      <c r="M78" s="60" t="n"/>
      <c r="N78" s="60" t="n"/>
      <c r="O78" s="60" t="n"/>
      <c r="P78" s="60" t="n"/>
      <c r="Q78" s="44">
        <f>IF(SUMPRODUCT(ABS(C78:P78))=100,"ok","*** FIX ***")</f>
        <v/>
      </c>
    </row>
    <row r="79">
      <c r="A79" s="60" t="inlineStr">
        <is>
          <t>RESTORE &amp; PROTECT</t>
        </is>
      </c>
      <c r="B79" s="60" t="inlineStr">
        <is>
          <t>brace</t>
        </is>
      </c>
      <c r="C79" s="60" t="n"/>
      <c r="D79" s="94" t="n">
        <v>100</v>
      </c>
      <c r="E79" s="60" t="n"/>
      <c r="F79" s="60" t="n"/>
      <c r="G79" s="60" t="n"/>
      <c r="H79" s="60" t="n"/>
      <c r="I79" s="60" t="n"/>
      <c r="J79" s="60" t="n"/>
      <c r="K79" s="60" t="n"/>
      <c r="L79" s="60" t="n"/>
      <c r="M79" s="60" t="n"/>
      <c r="N79" s="60" t="n"/>
      <c r="O79" s="60" t="n"/>
      <c r="P79" s="60" t="n"/>
      <c r="Q79" s="44">
        <f>IF(SUMPRODUCT(ABS(C79:P79))=100,"ok","*** FIX ***")</f>
        <v/>
      </c>
    </row>
    <row r="80">
      <c r="A80" s="60" t="inlineStr">
        <is>
          <t>RESTORE &amp; PROTECT</t>
        </is>
      </c>
      <c r="B80" s="60" t="inlineStr">
        <is>
          <t>seal</t>
        </is>
      </c>
      <c r="C80" s="60" t="n"/>
      <c r="D80" s="60" t="n"/>
      <c r="E80" s="94" t="n">
        <v>100</v>
      </c>
      <c r="F80" s="60" t="n"/>
      <c r="G80" s="60" t="n"/>
      <c r="H80" s="60" t="n"/>
      <c r="I80" s="60" t="n"/>
      <c r="J80" s="60" t="n"/>
      <c r="K80" s="60" t="n"/>
      <c r="L80" s="60" t="n"/>
      <c r="M80" s="60" t="n"/>
      <c r="N80" s="60" t="n"/>
      <c r="O80" s="60" t="n"/>
      <c r="P80" s="60" t="n"/>
      <c r="Q80" s="44">
        <f>IF(SUMPRODUCT(ABS(C80:P80))=100,"ok","*** FIX ***")</f>
        <v/>
      </c>
    </row>
    <row r="81">
      <c r="A81" s="60" t="inlineStr">
        <is>
          <t>RESTORE &amp; PROTECT</t>
        </is>
      </c>
      <c r="B81" s="60" t="inlineStr">
        <is>
          <t>haste</t>
        </is>
      </c>
      <c r="C81" s="60" t="n"/>
      <c r="D81" s="60" t="n"/>
      <c r="E81" s="60" t="n"/>
      <c r="F81" s="60" t="n"/>
      <c r="G81" s="60" t="n"/>
      <c r="H81" s="94" t="n">
        <v>100</v>
      </c>
      <c r="I81" s="60" t="n"/>
      <c r="J81" s="60" t="n"/>
      <c r="K81" s="60" t="n"/>
      <c r="L81" s="60" t="n"/>
      <c r="M81" s="60" t="n"/>
      <c r="N81" s="60" t="n"/>
      <c r="O81" s="60" t="n"/>
      <c r="P81" s="60" t="n"/>
      <c r="Q81" s="44">
        <f>IF(SUMPRODUCT(ABS(C81:P81))=100,"ok","*** FIX ***")</f>
        <v/>
      </c>
    </row>
    <row r="82">
      <c r="A82" s="60" t="inlineStr">
        <is>
          <t>RESTORE &amp; PROTECT</t>
        </is>
      </c>
      <c r="B82" s="60" t="inlineStr">
        <is>
          <t>keen</t>
        </is>
      </c>
      <c r="C82" s="60" t="n"/>
      <c r="D82" s="60" t="n"/>
      <c r="E82" s="60" t="n"/>
      <c r="F82" s="60" t="n"/>
      <c r="G82" s="60" t="n"/>
      <c r="H82" s="60" t="n"/>
      <c r="I82" s="94" t="n">
        <v>100</v>
      </c>
      <c r="J82" s="60" t="n"/>
      <c r="K82" s="60" t="n"/>
      <c r="L82" s="60" t="n"/>
      <c r="M82" s="60" t="n"/>
      <c r="N82" s="60" t="n"/>
      <c r="O82" s="60" t="n"/>
      <c r="P82" s="60" t="n"/>
      <c r="Q82" s="44">
        <f>IF(SUMPRODUCT(ABS(C82:P82))=100,"ok","*** FIX ***")</f>
        <v/>
      </c>
    </row>
    <row r="83">
      <c r="A83" s="60" t="inlineStr">
        <is>
          <t>RESTORE &amp; PROTECT</t>
        </is>
      </c>
      <c r="B83" s="60" t="inlineStr">
        <is>
          <t>regenerate</t>
        </is>
      </c>
      <c r="C83" s="60" t="n"/>
      <c r="D83" s="60" t="n"/>
      <c r="E83" s="60" t="n"/>
      <c r="F83" s="94" t="n">
        <v>60</v>
      </c>
      <c r="G83" s="94" t="n">
        <v>40</v>
      </c>
      <c r="H83" s="60" t="n"/>
      <c r="I83" s="60" t="n"/>
      <c r="J83" s="60" t="n"/>
      <c r="K83" s="60" t="n"/>
      <c r="L83" s="60" t="n"/>
      <c r="M83" s="60" t="n"/>
      <c r="N83" s="60" t="n"/>
      <c r="O83" s="60" t="n"/>
      <c r="P83" s="60" t="n"/>
      <c r="Q83" s="44">
        <f>IF(SUMPRODUCT(ABS(C83:P83))=100,"ok","*** FIX ***")</f>
        <v/>
      </c>
    </row>
    <row r="84">
      <c r="A84" s="60" t="inlineStr">
        <is>
          <t>RESTORE &amp; PROTECT</t>
        </is>
      </c>
      <c r="B84" s="60" t="inlineStr">
        <is>
          <t>fortify</t>
        </is>
      </c>
      <c r="C84" s="60" t="n"/>
      <c r="D84" s="94" t="n">
        <v>60</v>
      </c>
      <c r="E84" s="94" t="n">
        <v>40</v>
      </c>
      <c r="F84" s="60" t="n"/>
      <c r="G84" s="60" t="n"/>
      <c r="H84" s="60" t="n"/>
      <c r="I84" s="60" t="n"/>
      <c r="J84" s="60" t="n"/>
      <c r="K84" s="60" t="n"/>
      <c r="L84" s="60" t="n"/>
      <c r="M84" s="60" t="n"/>
      <c r="N84" s="60" t="n"/>
      <c r="O84" s="60" t="n"/>
      <c r="P84" s="60" t="n"/>
      <c r="Q84" s="44">
        <f>IF(SUMPRODUCT(ABS(C84:P84))=100,"ok","*** FIX ***")</f>
        <v/>
      </c>
    </row>
    <row r="85">
      <c r="A85" s="60" t="inlineStr">
        <is>
          <t>RESTORE &amp; PROTECT</t>
        </is>
      </c>
      <c r="B85" s="60" t="inlineStr">
        <is>
          <t>bolster</t>
        </is>
      </c>
      <c r="C85" s="60" t="n"/>
      <c r="D85" s="94" t="n">
        <v>60</v>
      </c>
      <c r="E85" s="60" t="n"/>
      <c r="F85" s="94" t="n">
        <v>40</v>
      </c>
      <c r="G85" s="60" t="n"/>
      <c r="H85" s="60" t="n"/>
      <c r="I85" s="60" t="n"/>
      <c r="J85" s="60" t="n"/>
      <c r="K85" s="60" t="n"/>
      <c r="L85" s="60" t="n"/>
      <c r="M85" s="60" t="n"/>
      <c r="N85" s="60" t="n"/>
      <c r="O85" s="60" t="n"/>
      <c r="P85" s="60" t="n"/>
      <c r="Q85" s="44">
        <f>IF(SUMPRODUCT(ABS(C85:P85))=100,"ok","*** FIX ***")</f>
        <v/>
      </c>
    </row>
    <row r="86">
      <c r="A86" s="60" t="inlineStr">
        <is>
          <t>RESTORE &amp; PROTECT</t>
        </is>
      </c>
      <c r="B86" s="60" t="inlineStr">
        <is>
          <t>preserve</t>
        </is>
      </c>
      <c r="C86" s="60" t="n"/>
      <c r="D86" s="60" t="n"/>
      <c r="E86" s="94" t="n">
        <v>60</v>
      </c>
      <c r="F86" s="94" t="n">
        <v>40</v>
      </c>
      <c r="G86" s="60" t="n"/>
      <c r="H86" s="60" t="n"/>
      <c r="I86" s="60" t="n"/>
      <c r="J86" s="60" t="n"/>
      <c r="K86" s="60" t="n"/>
      <c r="L86" s="60" t="n"/>
      <c r="M86" s="60" t="n"/>
      <c r="N86" s="60" t="n"/>
      <c r="O86" s="60" t="n"/>
      <c r="P86" s="60" t="n"/>
      <c r="Q86" s="44">
        <f>IF(SUMPRODUCT(ABS(C86:P86))=100,"ok","*** FIX ***")</f>
        <v/>
      </c>
    </row>
    <row r="87">
      <c r="A87" s="60" t="inlineStr">
        <is>
          <t>RESTORE &amp; PROTECT</t>
        </is>
      </c>
      <c r="B87" s="60" t="inlineStr">
        <is>
          <t>steady</t>
        </is>
      </c>
      <c r="C87" s="60" t="n"/>
      <c r="D87" s="60" t="n"/>
      <c r="E87" s="60" t="n"/>
      <c r="F87" s="60" t="n"/>
      <c r="G87" s="60" t="n"/>
      <c r="H87" s="60" t="n"/>
      <c r="I87" s="60" t="n"/>
      <c r="J87" s="94" t="n">
        <v>50</v>
      </c>
      <c r="K87" s="94" t="n">
        <v>50</v>
      </c>
      <c r="L87" s="60" t="n"/>
      <c r="M87" s="60" t="n"/>
      <c r="N87" s="60" t="n"/>
      <c r="O87" s="60" t="n"/>
      <c r="P87" s="60" t="n"/>
      <c r="Q87" s="44">
        <f>IF(SUMPRODUCT(ABS(C87:P87))=100,"ok","*** FIX ***")</f>
        <v/>
      </c>
    </row>
    <row r="88">
      <c r="A88" s="60" t="inlineStr">
        <is>
          <t>RESTORE &amp; PROTECT</t>
        </is>
      </c>
      <c r="B88" s="60" t="inlineStr">
        <is>
          <t>soothe</t>
        </is>
      </c>
      <c r="C88" s="60" t="n"/>
      <c r="D88" s="60" t="n"/>
      <c r="E88" s="60" t="n"/>
      <c r="F88" s="60" t="n"/>
      <c r="G88" s="94" t="n">
        <v>40</v>
      </c>
      <c r="H88" s="60" t="n"/>
      <c r="I88" s="60" t="n"/>
      <c r="J88" s="94" t="n">
        <v>60</v>
      </c>
      <c r="K88" s="60" t="n"/>
      <c r="L88" s="60" t="n"/>
      <c r="M88" s="60" t="n"/>
      <c r="N88" s="60" t="n"/>
      <c r="O88" s="60" t="n"/>
      <c r="P88" s="60" t="n"/>
      <c r="Q88" s="44">
        <f>IF(SUMPRODUCT(ABS(C88:P88))=100,"ok","*** FIX ***")</f>
        <v/>
      </c>
    </row>
    <row r="89">
      <c r="A89" s="60" t="inlineStr">
        <is>
          <t>RESTORE &amp; PROTECT</t>
        </is>
      </c>
      <c r="B89" s="60" t="inlineStr">
        <is>
          <t>sharpen</t>
        </is>
      </c>
      <c r="C89" s="60" t="n"/>
      <c r="D89" s="60" t="n"/>
      <c r="E89" s="60" t="n"/>
      <c r="F89" s="60" t="n"/>
      <c r="G89" s="60" t="n"/>
      <c r="H89" s="60" t="n"/>
      <c r="I89" s="94" t="n">
        <v>40</v>
      </c>
      <c r="J89" s="60" t="n"/>
      <c r="K89" s="94" t="n">
        <v>60</v>
      </c>
      <c r="L89" s="60" t="n"/>
      <c r="M89" s="60" t="n"/>
      <c r="N89" s="60" t="n"/>
      <c r="O89" s="60" t="n"/>
      <c r="P89" s="60" t="n"/>
      <c r="Q89" s="44">
        <f>IF(SUMPRODUCT(ABS(C89:P89))=100,"ok","*** FIX ***")</f>
        <v/>
      </c>
    </row>
    <row r="90">
      <c r="A90" s="60" t="inlineStr">
        <is>
          <t>RESTORE &amp; PROTECT</t>
        </is>
      </c>
      <c r="B90" s="60" t="inlineStr">
        <is>
          <t>vigilance</t>
        </is>
      </c>
      <c r="C90" s="60" t="n"/>
      <c r="D90" s="60" t="n"/>
      <c r="E90" s="60" t="n"/>
      <c r="F90" s="60" t="n"/>
      <c r="G90" s="60" t="n"/>
      <c r="H90" s="60" t="n"/>
      <c r="I90" s="94" t="n">
        <v>60</v>
      </c>
      <c r="J90" s="60" t="n"/>
      <c r="K90" s="94" t="n">
        <v>40</v>
      </c>
      <c r="L90" s="60" t="n"/>
      <c r="M90" s="60" t="n"/>
      <c r="N90" s="60" t="n"/>
      <c r="O90" s="60" t="n"/>
      <c r="P90" s="60" t="n"/>
      <c r="Q90" s="44">
        <f>IF(SUMPRODUCT(ABS(C90:P90))=100,"ok","*** FIX ***")</f>
        <v/>
      </c>
    </row>
    <row r="91">
      <c r="A91" s="60" t="inlineStr">
        <is>
          <t>RESTORE &amp; PROTECT</t>
        </is>
      </c>
      <c r="B91" s="60" t="inlineStr">
        <is>
          <t>quicken</t>
        </is>
      </c>
      <c r="C91" s="60" t="n"/>
      <c r="D91" s="60" t="n"/>
      <c r="E91" s="60" t="n"/>
      <c r="F91" s="60" t="n"/>
      <c r="G91" s="60" t="n"/>
      <c r="H91" s="94" t="n">
        <v>60</v>
      </c>
      <c r="I91" s="94" t="n">
        <v>40</v>
      </c>
      <c r="J91" s="60" t="n"/>
      <c r="K91" s="60" t="n"/>
      <c r="L91" s="60" t="n"/>
      <c r="M91" s="60" t="n"/>
      <c r="N91" s="60" t="n"/>
      <c r="O91" s="60" t="n"/>
      <c r="P91" s="60" t="n"/>
      <c r="Q91" s="44">
        <f>IF(SUMPRODUCT(ABS(C91:P91))=100,"ok","*** FIX ***")</f>
        <v/>
      </c>
    </row>
    <row r="92">
      <c r="A92" s="60" t="inlineStr">
        <is>
          <t>RESTORE &amp; PROTECT</t>
        </is>
      </c>
      <c r="B92" s="60" t="inlineStr">
        <is>
          <t>steel</t>
        </is>
      </c>
      <c r="C92" s="60" t="n"/>
      <c r="D92" s="60" t="n"/>
      <c r="E92" s="60" t="n"/>
      <c r="F92" s="60" t="n"/>
      <c r="G92" s="60" t="n"/>
      <c r="H92" s="60" t="n"/>
      <c r="I92" s="60" t="n"/>
      <c r="J92" s="94" t="n">
        <v>50</v>
      </c>
      <c r="K92" s="60" t="n"/>
      <c r="L92" s="94" t="n">
        <v>50</v>
      </c>
      <c r="M92" s="60" t="n"/>
      <c r="N92" s="60" t="n"/>
      <c r="O92" s="60" t="n"/>
      <c r="P92" s="60" t="n"/>
      <c r="Q92" s="44">
        <f>IF(SUMPRODUCT(ABS(C92:P92))=100,"ok","*** FIX ***")</f>
        <v/>
      </c>
    </row>
    <row r="93">
      <c r="A93" s="60" t="inlineStr">
        <is>
          <t>RESTORE &amp; PROTECT</t>
        </is>
      </c>
      <c r="B93" s="60" t="inlineStr">
        <is>
          <t>freedom</t>
        </is>
      </c>
      <c r="C93" s="60" t="n"/>
      <c r="D93" s="60" t="n"/>
      <c r="E93" s="60" t="n"/>
      <c r="F93" s="60" t="n"/>
      <c r="G93" s="60" t="n"/>
      <c r="H93" s="94" t="n">
        <v>60</v>
      </c>
      <c r="I93" s="60" t="n"/>
      <c r="J93" s="60" t="n"/>
      <c r="K93" s="60" t="n"/>
      <c r="L93" s="94" t="n">
        <v>40</v>
      </c>
      <c r="M93" s="60" t="n"/>
      <c r="N93" s="60" t="n"/>
      <c r="O93" s="60" t="n"/>
      <c r="P93" s="60" t="n"/>
      <c r="Q93" s="44">
        <f>IF(SUMPRODUCT(ABS(C93:P93))=100,"ok","*** FIX ***")</f>
        <v/>
      </c>
    </row>
    <row r="94">
      <c r="A94" s="60" t="inlineStr">
        <is>
          <t>RESTORE &amp; PROTECT</t>
        </is>
      </c>
      <c r="B94" s="60" t="inlineStr">
        <is>
          <t>cleanse</t>
        </is>
      </c>
      <c r="C94" s="60" t="n"/>
      <c r="D94" s="60" t="n"/>
      <c r="E94" s="60" t="n"/>
      <c r="F94" s="94" t="n">
        <v>50</v>
      </c>
      <c r="G94" s="60" t="n"/>
      <c r="H94" s="60" t="n"/>
      <c r="I94" s="60" t="n"/>
      <c r="J94" s="60" t="n"/>
      <c r="K94" s="60" t="n"/>
      <c r="L94" s="60" t="n"/>
      <c r="M94" s="60" t="n"/>
      <c r="N94" s="60" t="n"/>
      <c r="O94" s="91" t="n">
        <v>-50</v>
      </c>
      <c r="P94" s="60" t="n"/>
      <c r="Q94" s="44">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WAS PROPOSED HERE AND CUT. Resisting making resistance easier is a SNOWBALL IN BOTH DIRECTIONS — the classic death spiral. It works in Unknown Armies and Delta Green because it runs ACROSS A CAMPAIGN, not inside a fight. Within-scene feedback is a snowball; across-campaign feedback is an arc. A horror Component may add it on a session timescale.</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6"/>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SETTLED ·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Track &lt;=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Entity's Track is in a named band</t>
        </is>
      </c>
      <c r="B10" s="70" t="inlineStr">
        <is>
          <t>mobility in its "prone" band</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THE THREE BLANKS, FILLED AUG 2026 — see the SETTLED rows below.</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ADOPTED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ADOPTED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ADOPTED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row r="31">
      <c r="A31" s="76" t="inlineStr">
        <is>
          <t>cascade depth</t>
        </is>
      </c>
      <c r="B31" s="76" t="inlineStr">
        <is>
          <t>32</t>
        </is>
      </c>
      <c r="C31" s="76" t="inlineStr">
        <is>
          <t>SETTLED</t>
        </is>
      </c>
      <c r="D31" s="76" t="inlineStr">
        <is>
          <t>Where the database world settled 20 years ago. Magic terminates without a counter by calling a genuine loop A DRAW — a social rule. We have no table to appeal to.</t>
        </is>
      </c>
    </row>
    <row r="32">
      <c r="A32" s="76" t="inlineStr">
        <is>
          <t>at the limit</t>
        </is>
      </c>
      <c r="B32" s="76" t="inlineStr">
        <is>
          <t>halt without applying, WRITE A RECORD</t>
        </is>
      </c>
      <c r="C32" s="76" t="inlineStr">
        <is>
          <t>SETTLED</t>
        </is>
      </c>
      <c r="D32" s="76" t="inlineStr">
        <is>
          <t>Rolling back is unavailable (append-only). Silent dropping is what makes board states unexplainable.</t>
        </is>
      </c>
    </row>
    <row r="33">
      <c r="A33" s="76" t="inlineStr">
        <is>
          <t>ordering</t>
        </is>
      </c>
      <c r="B33" s="76" t="inlineStr">
        <is>
          <t>semantic class (substrate -&gt; mandatory -&gt; elective), then (layer, component_id, listener_id, target_entity_id, source_record_id)</t>
        </is>
      </c>
      <c r="C33" s="76" t="inlineStr">
        <is>
          <t>SETTLED</t>
        </is>
      </c>
      <c r="D33" s="76" t="inlineStr">
        <is>
          <t>Settled Aug 2026 (Q3.8). source_record_id makes it a total order. The key may contain ONLY values that do not move when unrelated content is added.</t>
        </is>
      </c>
    </row>
    <row r="34">
      <c r="A34" s="76" t="inlineStr">
        <is>
          <t>composition</t>
        </is>
      </c>
      <c r="B34" s="76" t="inlineStr">
        <is>
          <t>and · or · not</t>
        </is>
      </c>
      <c r="C34" s="76" t="inlineStr">
        <is>
          <t>SETTLED</t>
        </is>
      </c>
      <c r="D34" s="76" t="inlineStr">
        <is>
          <t>"not" is safe — the open-world rule is about absent FIELDS, not unknown STATE.</t>
        </is>
      </c>
    </row>
    <row r="35">
      <c r="A35" s="76" t="inlineStr">
        <is>
          <t>firing discipline</t>
        </is>
      </c>
      <c r="B35" s="76" t="inlineStr">
        <is>
          <t>once | while — REQUIRED, no default</t>
        </is>
      </c>
      <c r="C35" s="76" t="inlineStr">
        <is>
          <t>SETTLED</t>
        </is>
      </c>
      <c r="D35" s="76" t="inlineStr">
        <is>
          <t>A wrong guess is silent.</t>
        </is>
      </c>
    </row>
    <row r="36">
      <c r="A36" s="76" t="inlineStr">
        <is>
          <t>BRUSH</t>
        </is>
      </c>
      <c r="B36" s="76" t="inlineStr">
        <is>
          <t>a Threshold crossed and uncrossed inside one Moment</t>
        </is>
      </c>
      <c r="C36" s="76" t="inlineStr">
        <is>
          <t>SETTLED · NEW</t>
        </is>
      </c>
      <c r="D36" s="76" t="inlineStr">
        <is>
          <t>A creature at 0 vitality at R-1200 healed at R-1250 is NOT DEAD — Listeners evaluate at R-1400. Written on the Resolution Record so a Lens can surface it and a Listener can watch it via the "Record matching a shape" form. SLOTS ARE OBSERVABLE; the order of commutative operations INSIDE a slot is not.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SETTLED · Aug 2026 · TWO</t>
        </is>
      </c>
    </row>
    <row r="3">
      <c r="A3" s="65" t="inlineStr">
        <is>
          <t>Holes the Substrate declares and cannot fill. Exactly one occupant each, never zero, never two. A Bundle with an empty Socket must fail to load.</t>
        </is>
      </c>
    </row>
    <row r="4">
      <c r="A4" s="66" t="inlineStr">
        <is>
          <t>TWO. Time and Budget moved into the Substrate; LANDING WAS RETIRED when the Track merge ate its job. Five became two in a month, and each removal came from finding the hole held nothing up.</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2" t="inlineStr">
        <is>
          <t>Landing</t>
        </is>
      </c>
      <c r="B10" s="72" t="inlineStr">
        <is>
          <t>What persistent state each Dimension may address (= L25, fourteen rows)</t>
        </is>
      </c>
      <c r="C10" s="72" t="inlineStr">
        <is>
          <t>How a landed vector becomes persistent state</t>
        </is>
      </c>
      <c r="D10" s="72" t="inlineStr">
        <is>
          <t>Vectors arrive and nothing happens</t>
        </is>
      </c>
      <c r="E10" s="72" t="inlineStr">
        <is>
          <t>RETIRED Aug 2026. Its job was choosing HOW a surviving vector becomes persistent state — pool, wound track, consequence slot, phrase. The Track merge removed the choice: every axis is a Track by construction. What was left is Thresholds, Listeners and Track definitions, all of which exist. A Socket that can be satisfied by doing nothing is not a Socket.</t>
        </is>
      </c>
    </row>
    <row r="12">
      <c r="A12" s="70" t="inlineStr">
        <is>
          <t>TWO IS THE NUMBER, AND IT WAS EARNED. Every Socket is a hole in the explanation as well as the code — Time, Budget and Landing each failed that test and were resolved into the Substrate or the base Ruleset.</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2026-08-18T14:04:26Z</dcterms:modified>
  <cp:revision>0</cp:revision>
</cp:coreProperties>
</file>