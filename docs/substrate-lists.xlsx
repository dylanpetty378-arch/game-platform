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State axe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Transient-to-Persistent con"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 xmlns:r="http://schemas.openxmlformats.org/officeDocument/2006/relationships" name="L1b Link relations" sheetId="29" state="visible" r:id="rId29"/>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xf numFmtId="0" fontId="7"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8" min="1" max="1"/>
    <col width="42" customWidth="1" style="18" min="2" max="2"/>
    <col width="78" customWidth="1" style="18" min="3" max="3"/>
  </cols>
  <sheetData>
    <row r="1" ht="17.35" customHeight="1" s="19">
      <c r="A1" s="20" t="inlineStr">
        <is>
          <t>The lists workbook</t>
        </is>
      </c>
    </row>
    <row r="2" ht="15" customHeight="1" s="19">
      <c r="A2" s="21" t="inlineStr">
        <is>
          <t>Everything the Substrate still needs decided. One tab per list. Source of truth: docs/dictionary.md Part 11.</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22" t="inlineStr">
        <is>
          <t>The order to fill them in</t>
        </is>
      </c>
    </row>
    <row r="11" ht="15" customHeight="1" s="19">
      <c r="A11" s="25" t="inlineStr">
        <is>
          <t>#</t>
        </is>
      </c>
      <c r="B11" s="25" t="inlineStr">
        <is>
          <t>List</t>
        </is>
      </c>
      <c r="C11" s="25" t="inlineStr">
        <is>
          <t>Why here</t>
        </is>
      </c>
    </row>
    <row r="12" ht="15" customHeight="1" s="19">
      <c r="A12" s="26" t="inlineStr">
        <is>
          <t>1</t>
        </is>
      </c>
      <c r="B12" s="27" t="inlineStr">
        <is>
          <t>L29 Capacities</t>
        </is>
      </c>
      <c r="C12" s="26" t="inlineStr">
        <is>
          <t>The most load-bearing list. What a character is made of AND the axes an attempt splits across.</t>
        </is>
      </c>
    </row>
    <row r="13" ht="15" customHeight="1" s="19">
      <c r="A13" s="26" t="inlineStr">
        <is>
          <t>2</t>
        </is>
      </c>
      <c r="B13" s="27" t="inlineStr">
        <is>
          <t>L21 Dimension Spaces</t>
        </is>
      </c>
      <c r="C13" s="26" t="inlineStr">
        <is>
          <t>Then L22 Dimensions, then L23 Channels. Strictly in that order.</t>
        </is>
      </c>
    </row>
    <row r="14" ht="15" customHeight="1" s="19">
      <c r="A14" s="26" t="inlineStr">
        <is>
          <t>3</t>
        </is>
      </c>
      <c r="B14" s="27" t="inlineStr">
        <is>
          <t>L22 Dimensions, per Space</t>
        </is>
      </c>
      <c r="C14" s="26" t="n"/>
    </row>
    <row r="15" ht="15" customHeight="1" s="19">
      <c r="A15" s="26" t="inlineStr">
        <is>
          <t>4</t>
        </is>
      </c>
      <c r="B15" s="27" t="inlineStr">
        <is>
          <t>L23 Named Channels</t>
        </is>
      </c>
      <c r="C15" s="26" t="n"/>
    </row>
    <row r="16" ht="15" customHeight="1" s="19">
      <c r="A16" s="26" t="inlineStr">
        <is>
          <t>5</t>
        </is>
      </c>
      <c r="B16" s="27" t="inlineStr">
        <is>
          <t>L27 Sockets</t>
        </is>
      </c>
      <c r="C16" s="26" t="inlineStr">
        <is>
          <t>Blocks the Component contract.</t>
        </is>
      </c>
    </row>
    <row r="17" ht="15" customHeight="1" s="19">
      <c r="A17" s="26" t="inlineStr">
        <is>
          <t>6</t>
        </is>
      </c>
      <c r="B17" s="27" t="inlineStr">
        <is>
          <t>L28 Economy Units</t>
        </is>
      </c>
      <c r="C17" s="26" t="inlineStr">
        <is>
          <t>Blocks every spell and ability ever written.</t>
        </is>
      </c>
    </row>
    <row r="18" ht="15" customHeight="1" s="19">
      <c r="A18" s="26" t="inlineStr">
        <is>
          <t>7</t>
        </is>
      </c>
      <c r="B18" s="27" t="inlineStr">
        <is>
          <t>L1 / L2 / L3</t>
        </is>
      </c>
      <c r="C18" s="26" t="inlineStr">
        <is>
          <t>Categories, then Universal Attributes, then Category Attributes.</t>
        </is>
      </c>
    </row>
    <row r="19" ht="15" customHeight="1" s="19">
      <c r="A19" s="26" t="inlineStr">
        <is>
          <t>8</t>
        </is>
      </c>
      <c r="B19" s="27" t="inlineStr">
        <is>
          <t>L4 Tags and L5 State axes</t>
        </is>
      </c>
      <c r="C19" s="26" t="n"/>
    </row>
    <row r="20" ht="15" customHeight="1" s="19">
      <c r="A20" s="26" t="inlineStr">
        <is>
          <t>9</t>
        </is>
      </c>
      <c r="B20" s="27" t="inlineStr">
        <is>
          <t>L18 Aggregation operators</t>
        </is>
      </c>
      <c r="C20" s="26" t="inlineStr">
        <is>
          <t>The single most likely source of a determinism bug.</t>
        </is>
      </c>
    </row>
    <row r="21" ht="15" customHeight="1" s="19">
      <c r="A21" s="26" t="inlineStr">
        <is>
          <t>10</t>
        </is>
      </c>
      <c r="B21" s="27" t="inlineStr">
        <is>
          <t>L25 Conversions</t>
        </is>
      </c>
      <c r="C21" s="26" t="inlineStr">
        <is>
          <t>What a surviving vector actually does.</t>
        </is>
      </c>
    </row>
    <row r="22" ht="15" customHeight="1" s="19">
      <c r="A22" s="26" t="inlineStr">
        <is>
          <t>11</t>
        </is>
      </c>
      <c r="B22" s="27" t="inlineStr">
        <is>
          <t>L7 Layers — the rest</t>
        </is>
      </c>
      <c r="C22" s="26" t="inlineStr">
        <is>
          <t>Everything outside resolution: progression, economy, movement, knowledge, standing.</t>
        </is>
      </c>
    </row>
    <row r="23" ht="15" customHeight="1" s="19">
      <c r="A23" s="26" t="inlineStr">
        <is>
          <t>12</t>
        </is>
      </c>
      <c r="B23" s="27" t="inlineStr">
        <is>
          <t>L26 Listener conditions</t>
        </is>
      </c>
      <c r="C23" s="26" t="inlineStr">
        <is>
          <t>Plus the cascade limit and the evaluation order.</t>
        </is>
      </c>
    </row>
    <row r="24" ht="15" customHeight="1" s="19">
      <c r="A24" s="26" t="inlineStr">
        <is>
          <t>13</t>
        </is>
      </c>
      <c r="B24" s="27" t="inlineStr">
        <is>
          <t>L6 VERBS — LAST</t>
        </is>
      </c>
      <c r="C24" s="26" t="inlineStr">
        <is>
          <t>Not third, and not an afternoon. Every list above produces the evidence.</t>
        </is>
      </c>
    </row>
    <row r="26" ht="15" customHeight="1" s="19">
      <c r="A26" s="22" t="inlineStr">
        <is>
          <t>Status key</t>
        </is>
      </c>
    </row>
    <row r="27" ht="15" customHeight="1" s="19">
      <c r="A27" s="28" t="inlineStr">
        <is>
          <t>BLOCKING</t>
        </is>
      </c>
      <c r="B27" s="24" t="inlineStr">
        <is>
          <t>Nothing can be built until this is done.</t>
        </is>
      </c>
    </row>
    <row r="28" ht="15" customHeight="1" s="19">
      <c r="A28" s="29" t="inlineStr">
        <is>
          <t>PENDING</t>
        </is>
      </c>
      <c r="B28" s="24" t="inlineStr">
        <is>
          <t>Needed, not yet blocking anything.</t>
        </is>
      </c>
    </row>
    <row r="29" ht="15" customHeight="1" s="19">
      <c r="A29" s="29" t="inlineStr">
        <is>
          <t>PARTIAL</t>
        </is>
      </c>
      <c r="B29" s="24" t="inlineStr">
        <is>
          <t>Shape decided, contents open.</t>
        </is>
      </c>
    </row>
    <row r="30" ht="15" customHeight="1" s="19">
      <c r="A30" s="28" t="inlineStr">
        <is>
          <t>CLOSE LAST</t>
        </is>
      </c>
      <c r="B30" s="24" t="inlineStr">
        <is>
          <t>Deliberately not settled yet. Settling it early is the mistake.</t>
        </is>
      </c>
    </row>
    <row r="32">
      <c r="A32" s="38" t="inlineStr">
        <is>
          <t>HOW TO USE THE PROPOSALS — added August 2026</t>
        </is>
      </c>
    </row>
    <row r="33">
      <c r="A33" s="39" t="inlineStr"/>
    </row>
    <row r="34">
      <c r="A34" s="39" t="inlineStr">
        <is>
          <t>Every blocking tab now opens with PROPOSED rows on a pale yellow background. They are a starting position, not an answer.</t>
        </is>
      </c>
    </row>
    <row r="35">
      <c r="A35" s="39" t="inlineStr">
        <is>
          <t>Three things to do with each row: accept it, edit it, or cut it. Cutting is the most valuable of the three.</t>
        </is>
      </c>
    </row>
    <row r="36">
      <c r="A36" s="39" t="inlineStr"/>
    </row>
    <row r="37">
      <c r="A37" s="39" t="inlineStr">
        <is>
          <t>When you cut one, move it down to the CONSIDERED AND REJECTED block on the same tab and say why. Nothing above the</t>
        </is>
      </c>
    </row>
    <row r="38">
      <c r="A38" s="39" t="inlineStr">
        <is>
          <t>Substrate can put back something the Substrate omitted, and in two years you will not remember whether a thing is missing</t>
        </is>
      </c>
    </row>
    <row r="39">
      <c r="A39" s="39" t="inlineStr">
        <is>
          <t>because you decided against it or because you never thought of it.</t>
        </is>
      </c>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 the three character sheets)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3"/>
    <row r="4" ht="15" customHeight="1" s="19">
      <c r="A4" s="25" t="inlineStr">
        <is>
          <t>List</t>
        </is>
      </c>
      <c r="B4" s="25" t="inlineStr">
        <is>
          <t>Status</t>
        </is>
      </c>
      <c r="C4" s="25" t="inlineStr">
        <is>
          <t>Rows filled</t>
        </is>
      </c>
      <c r="D4" s="25" t="inlineStr">
        <is>
          <t>Done?</t>
        </is>
      </c>
    </row>
    <row r="5" ht="15" customHeight="1" s="19">
      <c r="A5" s="73" t="inlineStr">
        <is>
          <t>L1 · Categories</t>
        </is>
      </c>
      <c r="B5" s="74" t="inlineStr">
        <is>
          <t>SETTLED · Aug 2026</t>
        </is>
      </c>
      <c r="C5" s="73">
        <f>COUNTA('L1 Categories'!A8:A47)</f>
        <v/>
      </c>
      <c r="D5" s="73">
        <f>IF(C5&gt;0,"started","not started")</f>
        <v/>
      </c>
    </row>
    <row r="6" ht="15" customHeight="1" s="19">
      <c r="A6" s="73" t="inlineStr">
        <is>
          <t>L2 · Universal Attributes</t>
        </is>
      </c>
      <c r="B6" s="74" t="inlineStr">
        <is>
          <t>SETTLED · Aug 2026</t>
        </is>
      </c>
      <c r="C6" s="73">
        <f>COUNTA('L2 Universal Attributes'!A8:A47)</f>
        <v/>
      </c>
      <c r="D6" s="73">
        <f>IF(C6&gt;0,"started","not started")</f>
        <v/>
      </c>
    </row>
    <row r="7" ht="15" customHeight="1" s="19">
      <c r="A7" s="73" t="inlineStr">
        <is>
          <t>L3 · Category Attributes</t>
        </is>
      </c>
      <c r="B7" s="74" t="inlineStr">
        <is>
          <t>SETTLED · Aug 2026</t>
        </is>
      </c>
      <c r="C7" s="73">
        <f>COUNTA('L3 Category Attributes'!A8:A47)</f>
        <v/>
      </c>
      <c r="D7" s="73">
        <f>IF(C7&gt;0,"started","not started")</f>
        <v/>
      </c>
    </row>
    <row r="8" ht="15" customHeight="1" s="19">
      <c r="A8" s="26" t="inlineStr">
        <is>
          <t>L4 · Core Tag vocabulary</t>
        </is>
      </c>
      <c r="B8" s="30" t="inlineStr">
        <is>
          <t>PENDING · BLOCKING</t>
        </is>
      </c>
      <c r="C8" s="26">
        <f>COUNTA('L4 Core Tag vocabulary'!A8:A47)</f>
        <v/>
      </c>
      <c r="D8" s="26">
        <f>IF(C8&gt;0,"started","not started")</f>
        <v/>
      </c>
    </row>
    <row r="9" ht="15" customHeight="1" s="19">
      <c r="A9" s="73" t="inlineStr">
        <is>
          <t>L5 · Tracks</t>
        </is>
      </c>
      <c r="B9" s="74" t="inlineStr">
        <is>
          <t>SETTLED · Aug 2026</t>
        </is>
      </c>
      <c r="C9" s="73">
        <f>COUNTA('L5 State axes'!A8:A47)</f>
        <v/>
      </c>
      <c r="D9" s="73">
        <f>IF(C9&gt;0,"started","not started")</f>
        <v/>
      </c>
    </row>
    <row r="10" ht="15" customHeight="1" s="19">
      <c r="A10" s="26" t="inlineStr">
        <is>
          <t>L6 · Verbs</t>
        </is>
      </c>
      <c r="B10" s="30" t="inlineStr">
        <is>
          <t>PRELIMINARY · CLOSE LAST</t>
        </is>
      </c>
      <c r="C10" s="26">
        <f>COUNTA('L6 Verbs'!A8:A47)</f>
        <v/>
      </c>
      <c r="D10" s="26">
        <f>IF(C10&gt;0,"started","not started")</f>
        <v/>
      </c>
    </row>
    <row r="11" ht="15" customHeight="1" s="19">
      <c r="A11" s="26" t="inlineStr">
        <is>
          <t>L7 · Layers</t>
        </is>
      </c>
      <c r="B11" s="30" t="inlineStr">
        <is>
          <t>PARTIAL · BLOCKING</t>
        </is>
      </c>
      <c r="C11" s="26">
        <f>COUNTA('L7 Layers'!A8:A47)</f>
        <v/>
      </c>
      <c r="D11" s="26">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73" t="inlineStr">
        <is>
          <t>L18 · Aggregation operators</t>
        </is>
      </c>
      <c r="B16" s="74" t="inlineStr">
        <is>
          <t>SETTLED · Aug 2026</t>
        </is>
      </c>
      <c r="C16" s="73">
        <f>COUNTA('L18 Aggregation operators'!A8:A47)</f>
        <v/>
      </c>
      <c r="D16" s="73">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26" t="inlineStr">
        <is>
          <t>L25 · Transient-to-Persistent conversions</t>
        </is>
      </c>
      <c r="B23" s="30" t="inlineStr">
        <is>
          <t>PENDING · BLOCKING</t>
        </is>
      </c>
      <c r="C23" s="26">
        <f>COUNTA('L25 Transient-to-Persistent con'!A8:A47)</f>
        <v/>
      </c>
      <c r="D23" s="26">
        <f>IF(C23&gt;0,"started","not started")</f>
        <v/>
      </c>
    </row>
    <row r="24" ht="15" customHeight="1" s="19">
      <c r="A24" s="26" t="inlineStr">
        <is>
          <t>L26 · Listener condition forms</t>
        </is>
      </c>
      <c r="B24" s="31" t="inlineStr">
        <is>
          <t>PENDING</t>
        </is>
      </c>
      <c r="C24" s="26">
        <f>COUNTA('L26 Listener condition forms'!A8:A47)</f>
        <v/>
      </c>
      <c r="D24" s="26">
        <f>IF(C24&gt;0,"started","not started")</f>
        <v/>
      </c>
    </row>
    <row r="25" ht="15" customHeight="1" s="19">
      <c r="A25" s="73" t="inlineStr">
        <is>
          <t>L27 · Sockets</t>
        </is>
      </c>
      <c r="B25" s="74" t="inlineStr">
        <is>
          <t>SHAPE SETTLED · three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79" t="inlineStr">
        <is>
          <t>L31 · Timings</t>
        </is>
      </c>
      <c r="B29" s="78" t="inlineStr">
        <is>
          <t>SETTLED · Aug 2026</t>
        </is>
      </c>
      <c r="C29" s="79">
        <f>COUNTA('L31 Timings'!A8:A47)</f>
        <v/>
      </c>
      <c r="D29" s="7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3"/>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16" customWidth="1" style="19" min="1" max="1"/>
    <col width="14" customWidth="1" style="19" min="2" max="2"/>
    <col width="34" customWidth="1" style="19" min="3" max="3"/>
    <col width="46" customWidth="1" style="19" min="4" max="4"/>
    <col width="72" customWidth="1" style="19" min="5" max="5"/>
  </cols>
  <sheetData>
    <row r="1">
      <c r="A1" s="63" t="inlineStr">
        <is>
          <t>L1 · Categories</t>
        </is>
      </c>
    </row>
    <row r="2">
      <c r="A2" s="64" t="inlineStr">
        <is>
          <t>SETTLED · Aug 2026 · nine</t>
        </is>
      </c>
    </row>
    <row r="3">
      <c r="A3" s="65" t="inlineStr">
        <is>
          <t>A named bundle of the data a thing needs in order to PARTICIPATE. Not a taxonomy, not a type hierarchy, not a claim about what something is.</t>
        </is>
      </c>
    </row>
    <row r="4">
      <c r="A4" s="66" t="inlineStr">
        <is>
          <t>CATEGORIES COMPOSE. An Entity carries as many as apply; the result is the UNION of their bundles. A sentient sword is Item + Creature. An elemental plague is Phenomenon + Creature.</t>
        </is>
      </c>
    </row>
    <row r="6">
      <c r="A6" s="67" t="inlineStr">
        <is>
          <t>Category</t>
        </is>
      </c>
      <c r="B6" s="67" t="inlineStr">
        <is>
          <t>Tier</t>
        </is>
      </c>
      <c r="C6" s="67" t="inlineStr">
        <is>
          <t>What it is</t>
        </is>
      </c>
      <c r="D6" s="67" t="inlineStr">
        <is>
          <t>Brings (see L3)</t>
        </is>
      </c>
      <c r="E6" s="67" t="inlineStr">
        <is>
          <t>Notes</t>
        </is>
      </c>
    </row>
    <row r="7">
      <c r="A7" s="68" t="inlineStr">
        <is>
          <t>Tangible</t>
        </is>
      </c>
      <c r="B7" s="68" t="inlineStr">
        <is>
          <t>—</t>
        </is>
      </c>
      <c r="C7" s="68" t="inlineStr">
        <is>
          <t>things you can touch</t>
        </is>
      </c>
      <c r="D7" s="68" t="inlineStr">
        <is>
          <t>scale, place, mass, hardness</t>
        </is>
      </c>
      <c r="E7" s="68" t="inlineStr">
        <is>
          <t>REJECTED — see below. Location and scale do not depend on matter.</t>
        </is>
      </c>
      <c r="F7" s="69" t="inlineStr">
        <is>
          <t>← example, not data</t>
        </is>
      </c>
    </row>
    <row r="8">
      <c r="A8" s="76" t="inlineStr">
        <is>
          <t>Vector</t>
        </is>
      </c>
      <c r="B8" s="76" t="inlineStr">
        <is>
          <t>SUBSTRATE</t>
        </is>
      </c>
      <c r="C8" s="76" t="inlineStr">
        <is>
          <t>a pending push</t>
        </is>
      </c>
      <c r="D8" s="76" t="inlineStr">
        <is>
          <t>direction · magnitude · target (exactly one) · pin · layer · class</t>
        </is>
      </c>
      <c r="E8" s="76" t="inlineStr">
        <is>
          <t>Enforced shape. A pending vector is an Entity and is targetable.</t>
        </is>
      </c>
    </row>
    <row r="9">
      <c r="A9" s="76" t="inlineStr">
        <is>
          <t>Proposal</t>
        </is>
      </c>
      <c r="B9" s="76" t="inlineStr">
        <is>
          <t>SUBSTRATE</t>
        </is>
      </c>
      <c r="C9" s="76" t="inlineStr">
        <is>
          <t>a pending decision</t>
        </is>
      </c>
      <c r="D9" s="76" t="inlineStr">
        <is>
          <t>decider · moment · default · subject</t>
        </is>
      </c>
      <c r="E9" s="76" t="inlineStr">
        <is>
          <t>Rule 21: a human Decider always carries a Moment and a default.</t>
        </is>
      </c>
    </row>
    <row r="10">
      <c r="A10" s="76" t="inlineStr">
        <is>
          <t>Relationship</t>
        </is>
      </c>
      <c r="B10" s="76" t="inlineStr">
        <is>
          <t>SUBSTRATE</t>
        </is>
      </c>
      <c r="C10" s="76" t="inlineStr">
        <is>
          <t>a stance between participants</t>
        </is>
      </c>
      <c r="D10" s="76" t="inlineStr">
        <is>
          <t>one Connection per participant, stored independently</t>
        </is>
      </c>
      <c r="E10" s="76" t="inlineStr">
        <is>
          <t>NEVER an edge. 4 of 5 surveyed systems agree.</t>
        </is>
      </c>
    </row>
    <row r="11">
      <c r="A11" s="76" t="inlineStr">
        <is>
          <t>Creature</t>
        </is>
      </c>
      <c r="B11" s="76" t="inlineStr">
        <is>
          <t>Ruleset</t>
        </is>
      </c>
      <c r="C11" s="76" t="inlineStr">
        <is>
          <t>ANYTHING THAT ACTS — rolls, is played, places vectors</t>
        </is>
      </c>
      <c r="D11" s="76" t="inlineStr">
        <is>
          <t>attempt Capacities · vitality · posture/awareness/consciousness · Specialisations</t>
        </is>
      </c>
      <c r="E11" s="76" t="inlineStr">
        <is>
          <t>NOTHING ABOUT BIOLOGY. A haunted anchor, a sentient storm and a scheming guild are all Creatures, because all three do things.</t>
        </is>
      </c>
    </row>
    <row r="12">
      <c r="A12" s="76" t="inlineStr">
        <is>
          <t>Item</t>
        </is>
      </c>
      <c r="B12" s="76" t="inlineStr">
        <is>
          <t>Ruleset</t>
        </is>
      </c>
      <c r="C12" s="76" t="inlineStr">
        <is>
          <t>made or found; carried, used, broken</t>
        </is>
      </c>
      <c r="D12" s="76" t="inlineStr">
        <is>
          <t>integrity · mass and bulk Tags · Guards</t>
        </is>
      </c>
      <c r="E12" s="76" t="inlineStr">
        <is>
          <t>No mental State axes — which IS why a fear vector against a vase lands on nothing.</t>
        </is>
      </c>
    </row>
    <row r="13">
      <c r="A13" s="76" t="inlineStr">
        <is>
          <t>Place</t>
        </is>
      </c>
      <c r="B13" s="76" t="inlineStr">
        <is>
          <t>Ruleset</t>
        </is>
      </c>
      <c r="C13" s="76" t="inlineStr">
        <is>
          <t>somewhere things are</t>
        </is>
      </c>
      <c r="D13" s="76" t="inlineStr">
        <is>
          <t>extent and containment, per the Place Socket</t>
        </is>
      </c>
      <c r="E13" s="76" t="inlineStr">
        <is>
          <t>Contents defined by the Socket occupant.</t>
        </is>
      </c>
    </row>
    <row r="14">
      <c r="A14" s="76" t="inlineStr">
        <is>
          <t>Group</t>
        </is>
      </c>
      <c r="B14" s="76" t="inlineStr">
        <is>
          <t>Ruleset</t>
        </is>
      </c>
      <c r="C14" s="76" t="inlineStr">
        <is>
          <t>a party, crew, faction, guild</t>
        </is>
      </c>
      <c r="D14" s="76" t="inlineStr">
        <is>
          <t>membership · standing · group Resources</t>
        </is>
      </c>
      <c r="E14" s="76" t="inlineStr">
        <is>
          <t>Add Creature if it acts. Membership is member_of, NOT part_of.</t>
        </is>
      </c>
    </row>
    <row r="15">
      <c r="A15" s="76" t="inlineStr">
        <is>
          <t>Notion</t>
        </is>
      </c>
      <c r="B15" s="76" t="inlineStr">
        <is>
          <t>Ruleset</t>
        </is>
      </c>
      <c r="C15" s="76" t="inlineStr">
        <is>
          <t>a rumour, secret, law, debt</t>
        </is>
      </c>
      <c r="D15" s="76" t="inlineStr">
        <is>
          <t>provenance · spread · credibility</t>
        </is>
      </c>
      <c r="E15" s="76" t="inlineStr">
        <is>
          <t>NO location, NO harm pipeline.</t>
        </is>
      </c>
    </row>
    <row r="16">
      <c r="A16" s="76" t="inlineStr">
        <is>
          <t>Phenomenon</t>
        </is>
      </c>
      <c r="B16" s="76" t="inlineStr">
        <is>
          <t>Ruleset</t>
        </is>
      </c>
      <c r="C16" s="76" t="inlineStr">
        <is>
          <t>a fire, storm, plague, curse</t>
        </is>
      </c>
      <c r="D16" s="76" t="inlineStr">
        <is>
          <t>a standing vector · intensity · a fuel-like Resource</t>
        </is>
      </c>
      <c r="E16" s="76" t="inlineStr">
        <is>
          <t>Works because standing vectors already exist. Add Creature if it acts.</t>
        </is>
      </c>
    </row>
    <row r="18">
      <c r="A18" s="76" t="inlineStr">
        <is>
          <t>PC AND NPC ARE NOT CATEGORIES. Same fields, same rules, same sheet. The difference is a controlled_by link and a Decider. A character's numbers come from a creation process; a bestiary entry's are typed in. Identical schema, two authoring paths.</t>
        </is>
      </c>
    </row>
    <row r="20">
      <c r="A20" s="71" t="inlineStr">
        <is>
          <t>CONSIDERED AND REJECTED</t>
        </is>
      </c>
    </row>
    <row r="21">
      <c r="A21" s="72" t="inlineStr">
        <is>
          <t>Tangible</t>
        </is>
      </c>
      <c r="B21" s="72" t="inlineStr"/>
      <c r="C21" s="72" t="inlineStr"/>
      <c r="D21" s="72" t="inlineStr"/>
      <c r="E21" s="72" t="inlineStr">
        <is>
          <t>REJECTED. (1) Payload is wrong — BFO sites (a hold, a cockpit, a room) are IMMATERIAL and FULLY LOCATED; Blades factions have Tier and Turf. (2) BFO defers hurricanes/fires/flames to "the next version" and our Substrate is never versioned. (3) schema.org Intangible is the same shape and its maintainer's own bug closed unresolved. (4) OntoClean: a property things gain and lose must not be a backbone class — a ghost that materialises. NOW A TAG.</t>
        </is>
      </c>
    </row>
    <row r="22">
      <c r="A22" s="72" t="inlineStr">
        <is>
          <t>Object</t>
        </is>
      </c>
      <c r="B22" s="72" t="inlineStr"/>
      <c r="C22" s="72" t="inlineStr"/>
      <c r="D22" s="72" t="inlineStr"/>
      <c r="E22" s="72" t="inlineStr">
        <is>
          <t>REJECTED — brings nothing. An Entity with no Category is a thing in the world.</t>
        </is>
      </c>
    </row>
    <row r="23">
      <c r="A23" s="72" t="inlineStr">
        <is>
          <t>Character / NPC</t>
        </is>
      </c>
      <c r="B23" s="72" t="inlineStr"/>
      <c r="C23" s="72" t="inlineStr"/>
      <c r="D23" s="72" t="inlineStr"/>
      <c r="E23" s="72" t="inlineStr">
        <is>
          <t>REJECTED as separate from Creature. Who decides is a link, not a schema.</t>
        </is>
      </c>
    </row>
    <row r="24">
      <c r="A24" s="72" t="inlineStr">
        <is>
          <t>Being</t>
        </is>
      </c>
      <c r="B24" s="72" t="inlineStr"/>
      <c r="C24" s="72" t="inlineStr"/>
      <c r="D24" s="72" t="inlineStr"/>
      <c r="E24" s="72" t="inlineStr">
        <is>
          <t>RENAMED to Creature, and redefined as CAN ACT rather than IS ALIVE.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0" customWidth="1" style="19" min="1" max="1"/>
    <col width="14" customWidth="1" style="19" min="2" max="2"/>
    <col width="42" customWidth="1" style="19" min="3" max="3"/>
    <col width="86" customWidth="1" style="19" min="4" max="4"/>
  </cols>
  <sheetData>
    <row r="1">
      <c r="A1" s="63" t="inlineStr">
        <is>
          <t>L2 · Universal Attributes</t>
        </is>
      </c>
    </row>
    <row r="2">
      <c r="A2" s="64" t="inlineStr">
        <is>
          <t>SETTLED · Aug 2026 · nine</t>
        </is>
      </c>
    </row>
    <row r="3">
      <c r="A3" s="65" t="inlineStr">
        <is>
          <t>What EVERY Entity has, no exceptions. Six structural fields plus one slot per Noun kind.</t>
        </is>
      </c>
    </row>
    <row r="4">
      <c r="A4" s="66" t="inlineStr">
        <is>
          <t>THE NOUN SLOTS CANNOT LIVE IN FACETS. Rule 1 forbids reading another Component's Facets, but a Listener watching a State, a Guard reading a Resource and a Threshold reading a Capacity all cross Component lines BY DESIGN.</t>
        </is>
      </c>
    </row>
    <row r="6">
      <c r="A6" s="67" t="inlineStr">
        <is>
          <t>Field</t>
        </is>
      </c>
      <c r="B6" s="67" t="inlineStr">
        <is>
          <t>Group</t>
        </is>
      </c>
      <c r="C6" s="67" t="inlineStr">
        <is>
          <t>What it holds</t>
        </is>
      </c>
      <c r="D6" s="67" t="inlineStr">
        <is>
          <t>Notes</t>
        </is>
      </c>
    </row>
    <row r="7">
      <c r="A7" s="68" t="inlineStr">
        <is>
          <t>hit points</t>
        </is>
      </c>
      <c r="B7" s="68" t="inlineStr"/>
      <c r="C7" s="68" t="inlineStr">
        <is>
          <t>a number</t>
        </is>
      </c>
      <c r="D7" s="68" t="inlineStr">
        <is>
          <t>NOT universal, and not even shipped — the Substrate ships no Resources.</t>
        </is>
      </c>
      <c r="E7" s="69" t="inlineStr">
        <is>
          <t>← example, not data</t>
        </is>
      </c>
    </row>
    <row r="8">
      <c r="A8" s="76" t="inlineStr">
        <is>
          <t>id</t>
        </is>
      </c>
      <c r="B8" s="76" t="inlineStr">
        <is>
          <t>structure</t>
        </is>
      </c>
      <c r="C8" s="76" t="inlineStr">
        <is>
          <t>permanent numeric, never reused</t>
        </is>
      </c>
      <c r="D8" s="76" t="inlineStr">
        <is>
          <t>Derived STRUCTURALLY from the creating Record, so two folds of one Ledger allocate identically. A counter would drift.</t>
        </is>
      </c>
    </row>
    <row r="9">
      <c r="A9" s="76" t="inlineStr">
        <is>
          <t>category</t>
        </is>
      </c>
      <c r="B9" s="76" t="inlineStr">
        <is>
          <t>structure</t>
        </is>
      </c>
      <c r="C9" s="76" t="inlineStr">
        <is>
          <t>zero or more</t>
        </is>
      </c>
      <c r="D9" s="76" t="inlineStr">
        <is>
          <t>Composes — the union of the bundles.</t>
        </is>
      </c>
    </row>
    <row r="10">
      <c r="A10" s="76" t="inlineStr">
        <is>
          <t>tags</t>
        </is>
      </c>
      <c r="B10" s="76" t="inlineStr">
        <is>
          <t>structure</t>
        </is>
      </c>
      <c r="C10" s="76" t="inlineStr">
        <is>
          <t>zero or more, optional magnitude</t>
        </is>
      </c>
      <c r="D10" s="76" t="inlineStr">
        <is>
          <t>Open, Component-extensible forever, never implies another Tag. Doubles as the Tag Noun slot.</t>
        </is>
      </c>
    </row>
    <row r="11">
      <c r="A11" s="76" t="inlineStr">
        <is>
          <t>links</t>
        </is>
      </c>
      <c r="B11" s="76" t="inlineStr">
        <is>
          <t>structure</t>
        </is>
      </c>
      <c r="C11" s="76" t="inlineStr">
        <is>
          <t>zero or more (relation, target) pairs</t>
        </is>
      </c>
      <c r="D11" s="76" t="inlineStr">
        <is>
          <t>REPLACED a hard-coded part_of. A relation is an ID with declared traits, so a new one is a new ID not a new field.</t>
        </is>
      </c>
    </row>
    <row r="12">
      <c r="A12" s="76" t="inlineStr">
        <is>
          <t>scale</t>
        </is>
      </c>
      <c r="B12" s="76" t="inlineStr">
        <is>
          <t>structure</t>
        </is>
      </c>
      <c r="C12" s="76" t="inlineStr">
        <is>
          <t>optional integer</t>
        </is>
      </c>
      <c r="D12" s="76" t="inlineStr">
        <is>
          <t>SUBSTRATE, because R-750 and parts legality read it and rule 1 forbids reading Facets. Not gated on tangibility — factions have Tier.</t>
        </is>
      </c>
    </row>
    <row r="13">
      <c r="A13" s="76" t="inlineStr">
        <is>
          <t>facets</t>
        </is>
      </c>
      <c r="B13" s="76" t="inlineStr">
        <is>
          <t>structure</t>
        </is>
      </c>
      <c r="C13" s="76" t="inlineStr">
        <is>
          <t>per-Component data</t>
        </is>
      </c>
      <c r="D13" s="76" t="inlineStr">
        <is>
          <t>The escape hatch: anything that is NOT one of the five Noun kinds. WATCH THIS — anything put here that another Component must read is a missing Noun slot in disguise.</t>
        </is>
      </c>
    </row>
    <row r="14">
      <c r="A14" s="76" t="inlineStr">
        <is>
          <t>capacities</t>
        </is>
      </c>
      <c r="B14" s="76" t="inlineStr">
        <is>
          <t>Noun slot</t>
        </is>
      </c>
      <c r="C14" s="76" t="inlineStr">
        <is>
          <t>Capacity ID -&gt; value</t>
        </is>
      </c>
      <c r="D14" s="76" t="inlineStr">
        <is>
          <t>The fifteen attempt Dimensions live here.</t>
        </is>
      </c>
    </row>
    <row r="15">
      <c r="A15" s="76" t="inlineStr">
        <is>
          <t>states</t>
        </is>
      </c>
      <c r="B15" s="76" t="inlineStr">
        <is>
          <t>Noun slot</t>
        </is>
      </c>
      <c r="C15" s="76" t="inlineStr">
        <is>
          <t>axis -&gt; State ID, optional magnitude</t>
        </is>
      </c>
      <c r="D15" s="76" t="inlineStr">
        <is>
          <t>Aggregates by MAX, never sum (PF2e's rule; additive stacking makes any repeatable source unbounded).</t>
        </is>
      </c>
    </row>
    <row r="16">
      <c r="A16" s="76" t="inlineStr">
        <is>
          <t>resources</t>
        </is>
      </c>
      <c r="B16" s="76" t="inlineStr">
        <is>
          <t>Noun slot</t>
        </is>
      </c>
      <c r="C16" s="76" t="inlineStr">
        <is>
          <t>Resource ID -&gt; value, with Thresholds</t>
        </is>
      </c>
      <c r="D16" s="76" t="inlineStr">
        <is>
          <t>Aggregates by CLAMP. The Substrate ships none.</t>
        </is>
      </c>
    </row>
    <row r="18">
      <c r="A18" s="76" t="inlineStr">
        <is>
          <t>RELATIONSHIP NEEDS NO SLOT — it is an Entity.</t>
        </is>
      </c>
    </row>
    <row r="20">
      <c r="A20" s="71" t="inlineStr">
        <is>
          <t>CONSIDERED AND REJECTED</t>
        </is>
      </c>
    </row>
    <row r="21">
      <c r="A21" s="72" t="inlineStr">
        <is>
          <t>exists</t>
        </is>
      </c>
      <c r="B21" s="72" t="inlineStr"/>
      <c r="C21" s="72" t="inlineStr"/>
      <c r="D21" s="72" t="inlineStr">
        <is>
          <t>SPLIT. Destruction is a STATE on a lifecycle axis; retraction is a COMPENSATING RECORD, so the Entity is simply not produced by the Fold. No boolean, no default, no predicate to forget. Under "absent is not zero" a boolean would be three-valued with an INVERTED safe default.</t>
        </is>
      </c>
    </row>
    <row r="22">
      <c r="A22" s="72" t="inlineStr">
        <is>
          <t>location</t>
        </is>
      </c>
      <c r="B22" s="72" t="inlineStr"/>
      <c r="C22" s="72" t="inlineStr"/>
      <c r="D22" s="72" t="inlineStr">
        <is>
          <t>The PLACE SOCKET's Facet. Only the occupant interprets it; the Substrate never needs to.</t>
        </is>
      </c>
    </row>
    <row r="23">
      <c r="A23" s="72" t="inlineStr">
        <is>
          <t>name</t>
        </is>
      </c>
      <c r="B23" s="72" t="inlineStr"/>
      <c r="C23" s="72" t="inlineStr"/>
      <c r="D23" s="72" t="inlineStr">
        <is>
          <t>A LENS concern. Setting-specific, and the likeliest place for rule 10 (PII) to be violated.</t>
        </is>
      </c>
    </row>
    <row r="24">
      <c r="A24" s="72" t="inlineStr">
        <is>
          <t>mass / bulk</t>
        </is>
      </c>
      <c r="B24" s="72" t="inlineStr"/>
      <c r="C24" s="72" t="inlineStr"/>
      <c r="D24" s="72" t="inlineStr">
        <is>
          <t>TAGS, with magnitudes.</t>
        </is>
      </c>
    </row>
    <row r="25">
      <c r="A25" s="72" t="inlineStr">
        <is>
          <t>hardness</t>
        </is>
      </c>
      <c r="B25" s="72" t="inlineStr"/>
      <c r="C25" s="72" t="inlineStr"/>
      <c r="D25" s="72" t="inlineStr">
        <is>
          <t>A FLAT GUARD at R-850. Not an attribute at all.</t>
        </is>
      </c>
    </row>
    <row r="26">
      <c r="A26" s="72" t="inlineStr">
        <is>
          <t>the fourteen Dimensions</t>
        </is>
      </c>
      <c r="B26" s="72" t="inlineStr"/>
      <c r="C26" s="72" t="inlineStr"/>
      <c r="D26" s="72" t="inlineStr">
        <is>
          <t>Axes a VECTOR travels on, never fields on a target.</t>
        </is>
      </c>
    </row>
    <row r="27">
      <c r="A27" s="72" t="inlineStr">
        <is>
          <t>the inverse of any link</t>
        </is>
      </c>
      <c r="B27" s="72" t="inlineStr"/>
      <c r="C27" s="72" t="inlineStr"/>
      <c r="D27" s="72" t="inlineStr">
        <is>
          <t>DERIVED by the Fold. Writing both directions is denormalisation, and denormalisation desyncs.</t>
        </is>
      </c>
    </row>
    <row r="28">
      <c r="A28" s="72" t="inlineStr">
        <is>
          <t>generation / version counter</t>
        </is>
      </c>
      <c r="B28" s="72" t="inlineStr"/>
      <c r="C28" s="72" t="inlineStr"/>
      <c r="D28" s="72" t="inlineStr">
        <is>
          <t>Not needed — generational indices exist to stop a RECYCLED id pointing at a new entity. Never reusing ids removes the precondition, and a Record from 400 Moments ago then needs one integer rather than two forever.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6" topLeftCell="A7" activePane="bottomLeft" state="frozen"/>
      <selection pane="bottomLeft" activeCell="A1" sqref="A1"/>
    </sheetView>
  </sheetViews>
  <sheetFormatPr baseColWidth="8" defaultRowHeight="15"/>
  <cols>
    <col width="16" customWidth="1" style="19" min="1" max="1"/>
    <col width="38" customWidth="1" style="19" min="2" max="2"/>
    <col width="20" customWidth="1" style="19" min="3" max="3"/>
    <col width="32" customWidth="1" style="19" min="4" max="4"/>
    <col width="54" customWidth="1" style="19" min="5" max="5"/>
  </cols>
  <sheetData>
    <row r="1">
      <c r="A1" s="63" t="inlineStr">
        <is>
          <t>L3 · Category Attributes</t>
        </is>
      </c>
    </row>
    <row r="2">
      <c r="A2" s="64" t="inlineStr">
        <is>
          <t>SETTLED · Aug 2026</t>
        </is>
      </c>
    </row>
    <row r="3">
      <c r="A3" s="65" t="inlineStr">
        <is>
          <t>What each Category brings. Substrate Categories bring an ENFORCED shape; Ruleset Categories bring default field presence.</t>
        </is>
      </c>
    </row>
    <row r="4">
      <c r="A4" s="66" t="inlineStr">
        <is>
          <t>THE ABSENCE OF A ROW IS THE MECHANISM, NOT AN OMISSION. Item has no mental State axes, which is exactly why a fear vector against a vase resolves fully and lands on nothing. A COMPOSED ENTITY TAKES THE UNION.</t>
        </is>
      </c>
    </row>
    <row r="6">
      <c r="A6" s="67" t="inlineStr">
        <is>
          <t>Category</t>
        </is>
      </c>
      <c r="B6" s="67" t="inlineStr">
        <is>
          <t>Capacities</t>
        </is>
      </c>
      <c r="C6" s="67" t="inlineStr">
        <is>
          <t>Resources</t>
        </is>
      </c>
      <c r="D6" s="67" t="inlineStr">
        <is>
          <t>State axes</t>
        </is>
      </c>
      <c r="E6" s="67" t="inlineStr">
        <is>
          <t>Other</t>
        </is>
      </c>
    </row>
    <row r="7">
      <c r="A7" s="68" t="inlineStr">
        <is>
          <t>Object</t>
        </is>
      </c>
      <c r="B7" s="68" t="inlineStr">
        <is>
          <t>—</t>
        </is>
      </c>
      <c r="C7" s="68" t="inlineStr">
        <is>
          <t>—</t>
        </is>
      </c>
      <c r="D7" s="68" t="inlineStr">
        <is>
          <t>—</t>
        </is>
      </c>
      <c r="E7" s="68" t="inlineStr">
        <is>
          <t>No Category. REJECTED in L1.</t>
        </is>
      </c>
      <c r="F7" s="69" t="inlineStr">
        <is>
          <t>← example, not data</t>
        </is>
      </c>
    </row>
    <row r="8">
      <c r="A8" s="76" t="inlineStr">
        <is>
          <t>Vector</t>
        </is>
      </c>
      <c r="B8" s="76" t="inlineStr">
        <is>
          <t>—</t>
        </is>
      </c>
      <c r="C8" s="76" t="inlineStr">
        <is>
          <t>—</t>
        </is>
      </c>
      <c r="D8" s="76" t="inlineStr">
        <is>
          <t>—</t>
        </is>
      </c>
      <c r="E8" s="76" t="inlineStr">
        <is>
          <t>ENFORCED: direction · magnitude · target (exactly one) · pin · layer · class</t>
        </is>
      </c>
    </row>
    <row r="9">
      <c r="A9" s="76" t="inlineStr">
        <is>
          <t>Proposal</t>
        </is>
      </c>
      <c r="B9" s="76" t="inlineStr">
        <is>
          <t>—</t>
        </is>
      </c>
      <c r="C9" s="76" t="inlineStr">
        <is>
          <t>—</t>
        </is>
      </c>
      <c r="D9" s="76" t="inlineStr">
        <is>
          <t>—</t>
        </is>
      </c>
      <c r="E9" s="76" t="inlineStr">
        <is>
          <t>ENFORCED: decider · moment · default · subject</t>
        </is>
      </c>
    </row>
    <row r="10">
      <c r="A10" s="76" t="inlineStr">
        <is>
          <t>Relationship</t>
        </is>
      </c>
      <c r="B10" s="76" t="inlineStr">
        <is>
          <t>—</t>
        </is>
      </c>
      <c r="C10" s="76" t="inlineStr">
        <is>
          <t>—</t>
        </is>
      </c>
      <c r="D10" s="76" t="inlineStr">
        <is>
          <t>—</t>
        </is>
      </c>
      <c r="E10" s="76" t="inlineStr">
        <is>
          <t>ENFORCED: connections[] — one per participant: holder · about · stance</t>
        </is>
      </c>
    </row>
    <row r="11">
      <c r="A11" s="76" t="inlineStr">
        <is>
          <t>Creature</t>
        </is>
      </c>
      <c r="B11" s="76" t="inlineStr">
        <is>
          <t>the fifteen attempt Dimensions</t>
        </is>
      </c>
      <c r="C11" s="76" t="inlineStr">
        <is>
          <t>vitality</t>
        </is>
      </c>
      <c r="D11" s="76" t="inlineStr">
        <is>
          <t>posture · awareness · consciousness</t>
        </is>
      </c>
      <c r="E11" s="76" t="inlineStr">
        <is>
          <t>Specialisations</t>
        </is>
      </c>
    </row>
    <row r="12">
      <c r="A12" s="76" t="inlineStr">
        <is>
          <t>Item</t>
        </is>
      </c>
      <c r="B12" s="76" t="inlineStr">
        <is>
          <t>—</t>
        </is>
      </c>
      <c r="C12" s="76" t="inlineStr">
        <is>
          <t>integrity</t>
        </is>
      </c>
      <c r="D12" s="76" t="inlineStr">
        <is>
          <t>access</t>
        </is>
      </c>
      <c r="E12" s="76" t="inlineStr">
        <is>
          <t>mass and bulk Tags; Guards</t>
        </is>
      </c>
    </row>
    <row r="13">
      <c r="A13" s="76" t="inlineStr">
        <is>
          <t>Place</t>
        </is>
      </c>
      <c r="B13" s="76" t="inlineStr">
        <is>
          <t>—</t>
        </is>
      </c>
      <c r="C13" s="76" t="inlineStr">
        <is>
          <t>—</t>
        </is>
      </c>
      <c r="D13" s="76" t="inlineStr">
        <is>
          <t>—</t>
        </is>
      </c>
      <c r="E13" s="76" t="inlineStr">
        <is>
          <t>extent and containment, per the Place Socket</t>
        </is>
      </c>
    </row>
    <row r="14">
      <c r="A14" s="76" t="inlineStr">
        <is>
          <t>Group</t>
        </is>
      </c>
      <c r="B14" s="76" t="inlineStr">
        <is>
          <t>the attempt Dimensions IF it also carries Creature</t>
        </is>
      </c>
      <c r="C14" s="76" t="inlineStr">
        <is>
          <t>standing</t>
        </is>
      </c>
      <c r="D14" s="76" t="inlineStr">
        <is>
          <t>posture</t>
        </is>
      </c>
      <c r="E14" s="76" t="inlineStr">
        <is>
          <t>membership via member_of</t>
        </is>
      </c>
    </row>
    <row r="15">
      <c r="A15" s="76" t="inlineStr">
        <is>
          <t>Notion</t>
        </is>
      </c>
      <c r="B15" s="76" t="inlineStr">
        <is>
          <t>—</t>
        </is>
      </c>
      <c r="C15" s="76" t="inlineStr">
        <is>
          <t>credibility</t>
        </is>
      </c>
      <c r="D15" s="76" t="inlineStr">
        <is>
          <t>spread</t>
        </is>
      </c>
      <c r="E15" s="76" t="inlineStr">
        <is>
          <t>provenance. NO location, NO harm pipeline.</t>
        </is>
      </c>
    </row>
    <row r="16">
      <c r="A16" s="76" t="inlineStr">
        <is>
          <t>Phenomenon</t>
        </is>
      </c>
      <c r="B16" s="76" t="inlineStr">
        <is>
          <t>—</t>
        </is>
      </c>
      <c r="C16" s="76" t="inlineStr">
        <is>
          <t>fuel</t>
        </is>
      </c>
      <c r="D16" s="76" t="inlineStr">
        <is>
          <t>intensity</t>
        </is>
      </c>
      <c r="E16" s="76" t="inlineStr">
        <is>
          <t>a standing vector, scoped by Place</t>
        </is>
      </c>
    </row>
    <row r="18">
      <c r="A18" s="76" t="inlineStr">
        <is>
          <t>WORKED: a sentient sword is Item + Creature — integrity AND vitality, mass AND attempt Capacities, smashable AND frightenable. An elemental plague is Phenomenon + Creature.</t>
        </is>
      </c>
    </row>
    <row r="20">
      <c r="A20" s="71" t="inlineStr">
        <is>
          <t>CONSIDERED AND REJECTED</t>
        </is>
      </c>
    </row>
    <row r="21">
      <c r="A21" s="72" t="inlineStr">
        <is>
          <t>the three character sheets</t>
        </is>
      </c>
      <c r="B21" s="72" t="inlineStr"/>
      <c r="C21" s="72" t="inlineStr"/>
      <c r="D21" s="72" t="inlineStr"/>
      <c r="E21" s="72" t="inlineStr">
        <is>
          <t>DEFERRED, deliberately. Person, ship and faction were to be written here as the test of L1-L3. They wait until CHARACTER CREATION is designed, because what a sheet shows is downstream of how a character is made. Writing it first would bake in an authoring path nobody chose.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PENDING · BLOCKING · research-seeded Aug 2026</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Resource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Resource — the label the Resource system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ARGUE — PROPOSED CHANGE. Make it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26" customWidth="1" style="19" min="1" max="1"/>
    <col width="28" customWidth="1" style="19" min="2" max="2"/>
    <col width="52" customWidth="1" style="19" min="3" max="3"/>
    <col width="34" customWidth="1" style="19" min="4" max="4"/>
    <col width="12" customWidth="1" style="19" min="5" max="5"/>
  </cols>
  <sheetData>
    <row r="1">
      <c r="A1" s="63" t="inlineStr">
        <is>
          <t>L5 · Tracks   (was: State axes)</t>
        </is>
      </c>
    </row>
    <row r="2">
      <c r="A2" s="64" t="inlineStr">
        <is>
          <t>SETTLED · Aug 2026 · fourteen</t>
        </is>
      </c>
    </row>
    <row r="3">
      <c r="A3" s="65" t="inlineStr">
        <is>
          <t>A Track is a bounded value with a MAXIMUM, a CURRENT and NAMED BANDS. It is the persistent counterpart of a Dimension: the Dimension is the axis a vector travels on, the Track is the standing value on that axis.</t>
        </is>
      </c>
    </row>
    <row r="4">
      <c r="A4" s="66" t="inlineStr">
        <is>
          <t>INFLICTING CHARM IS NO DIFFERENT FROM THROWING A FIREBALL. Same machinery, different axis. MAX IS GOOD, ZERO IS COMPROMISED — except the two BIPOLAR axes, where the MIDDLE is good and both ends are bad.</t>
        </is>
      </c>
    </row>
    <row r="6">
      <c r="A6" s="67" t="inlineStr">
        <is>
          <t>Track</t>
        </is>
      </c>
      <c r="B6" s="67" t="inlineStr">
        <is>
          <t>Pushed by (Dimension)</t>
        </is>
      </c>
      <c r="C6" s="67" t="inlineStr">
        <is>
          <t>Bands, max -&gt; 0</t>
        </is>
      </c>
      <c r="D6" s="67" t="inlineStr">
        <is>
          <t>Carried by</t>
        </is>
      </c>
      <c r="E6" s="67" t="inlineStr">
        <is>
          <t>Payable?</t>
        </is>
      </c>
    </row>
    <row r="7">
      <c r="A7" s="68" t="inlineStr">
        <is>
          <t>prone</t>
        </is>
      </c>
      <c r="B7" s="68" t="inlineStr">
        <is>
          <t>—</t>
        </is>
      </c>
      <c r="C7" s="68" t="inlineStr">
        <is>
          <t>—</t>
        </is>
      </c>
      <c r="D7" s="68" t="inlineStr">
        <is>
          <t>—</t>
        </is>
      </c>
      <c r="E7" s="68" t="inlineStr">
        <is>
          <t>NOT A TRACK. "Prone" is a BAND on mobility. There is no prone State.</t>
        </is>
      </c>
      <c r="F7" s="69" t="inlineStr">
        <is>
          <t>← example, not data</t>
        </is>
      </c>
    </row>
    <row r="8">
      <c r="A8" s="76" t="inlineStr">
        <is>
          <t>vitality</t>
        </is>
      </c>
      <c r="B8" s="76" t="inlineStr">
        <is>
          <t>vitality · integrity</t>
        </is>
      </c>
      <c r="C8" s="76" t="inlineStr">
        <is>
          <t>hale · hurt · wounded · grave · dying</t>
        </is>
      </c>
      <c r="D8" s="76" t="inlineStr">
        <is>
          <t>Creature · Group (cohesion)</t>
        </is>
      </c>
      <c r="E8" s="76" t="inlineStr">
        <is>
          <t>no</t>
        </is>
      </c>
    </row>
    <row r="9">
      <c r="A9" s="76" t="inlineStr">
        <is>
          <t>vigor</t>
        </is>
      </c>
      <c r="B9" s="76" t="inlineStr">
        <is>
          <t>vigor · temperature (extremes)</t>
        </is>
      </c>
      <c r="C9" s="76" t="inlineStr">
        <is>
          <t>fresh · tired · weary · spent · collapsed</t>
        </is>
      </c>
      <c r="D9" s="76" t="inlineStr">
        <is>
          <t>Creature · Phenomenon (its fuel)</t>
        </is>
      </c>
      <c r="E9" s="76" t="inlineStr">
        <is>
          <t>maybe</t>
        </is>
      </c>
    </row>
    <row r="10">
      <c r="A10" s="76" t="inlineStr">
        <is>
          <t>mobility</t>
        </is>
      </c>
      <c r="B10" s="76" t="inlineStr">
        <is>
          <t>mobility</t>
        </is>
      </c>
      <c r="C10" s="76" t="inlineStr">
        <is>
          <t>free · slowed · hobbled · pinned · immobile</t>
        </is>
      </c>
      <c r="D10" s="76" t="inlineStr">
        <is>
          <t>Creature</t>
        </is>
      </c>
      <c r="E10" s="76" t="inlineStr">
        <is>
          <t>no</t>
        </is>
      </c>
    </row>
    <row r="11">
      <c r="A11" s="76" t="inlineStr">
        <is>
          <t>acuity</t>
        </is>
      </c>
      <c r="B11" s="76" t="inlineStr">
        <is>
          <t>acuity</t>
        </is>
      </c>
      <c r="C11" s="76" t="inlineStr">
        <is>
          <t>sharp · dulled · clouded · blind</t>
        </is>
      </c>
      <c r="D11" s="76" t="inlineStr">
        <is>
          <t>Creature</t>
        </is>
      </c>
      <c r="E11" s="76" t="inlineStr">
        <is>
          <t>no</t>
        </is>
      </c>
    </row>
    <row r="12">
      <c r="A12" s="76" t="inlineStr">
        <is>
          <t>integrity</t>
        </is>
      </c>
      <c r="B12" s="76" t="inlineStr">
        <is>
          <t>integrity · substance · temperature</t>
        </is>
      </c>
      <c r="C12" s="76" t="inlineStr">
        <is>
          <t>intact · marred · damaged · failing · ruined</t>
        </is>
      </c>
      <c r="D12" s="76" t="inlineStr">
        <is>
          <t>Item</t>
        </is>
      </c>
      <c r="E12" s="76" t="inlineStr">
        <is>
          <t>no</t>
        </is>
      </c>
    </row>
    <row r="13">
      <c r="A13" s="76" t="inlineStr">
        <is>
          <t>substance</t>
        </is>
      </c>
      <c r="B13" s="76" t="inlineStr">
        <is>
          <t>substance</t>
        </is>
      </c>
      <c r="C13" s="76" t="inlineStr">
        <is>
          <t>whole · pitted · eaten · consumed</t>
        </is>
      </c>
      <c r="D13" s="76" t="inlineStr">
        <is>
          <t>Item</t>
        </is>
      </c>
      <c r="E13" s="76" t="inlineStr">
        <is>
          <t>no</t>
        </is>
      </c>
    </row>
    <row r="14">
      <c r="A14" s="76" t="inlineStr">
        <is>
          <t>composure</t>
        </is>
      </c>
      <c r="B14" s="76" t="inlineStr">
        <is>
          <t>composure</t>
        </is>
      </c>
      <c r="C14" s="76" t="inlineStr">
        <is>
          <t>steady · rattled · shaken · panicked · broken</t>
        </is>
      </c>
      <c r="D14" s="76" t="inlineStr">
        <is>
          <t>Creature</t>
        </is>
      </c>
      <c r="E14" s="76" t="inlineStr">
        <is>
          <t>maybe</t>
        </is>
      </c>
    </row>
    <row r="15">
      <c r="A15" s="76" t="inlineStr">
        <is>
          <t>clarity</t>
        </is>
      </c>
      <c r="B15" s="76" t="inlineStr">
        <is>
          <t>clarity</t>
        </is>
      </c>
      <c r="C15" s="76" t="inlineStr">
        <is>
          <t>lucid · muddled · confused · senseless</t>
        </is>
      </c>
      <c r="D15" s="76" t="inlineStr">
        <is>
          <t>Creature</t>
        </is>
      </c>
      <c r="E15" s="76" t="inlineStr">
        <is>
          <t>no</t>
        </is>
      </c>
    </row>
    <row r="16">
      <c r="A16" s="76" t="inlineStr">
        <is>
          <t>will</t>
        </is>
      </c>
      <c r="B16" s="76" t="inlineStr">
        <is>
          <t>will</t>
        </is>
      </c>
      <c r="C16" s="76" t="inlineStr">
        <is>
          <t>resolute · wavering · yielding · dominated</t>
        </is>
      </c>
      <c r="D16" s="76" t="inlineStr">
        <is>
          <t>Creature</t>
        </is>
      </c>
      <c r="E16" s="76" t="inlineStr">
        <is>
          <t>maybe</t>
        </is>
      </c>
    </row>
    <row r="17">
      <c r="A17" s="76" t="inlineStr">
        <is>
          <t>standing</t>
        </is>
      </c>
      <c r="B17" s="76" t="inlineStr">
        <is>
          <t>standing</t>
        </is>
      </c>
      <c r="C17" s="76" t="inlineStr">
        <is>
          <t>renowned · respected · known · disregarded · disgraced</t>
        </is>
      </c>
      <c r="D17" s="76" t="inlineStr">
        <is>
          <t>Group · Notion (how believed)</t>
        </is>
      </c>
      <c r="E17" s="76" t="inlineStr">
        <is>
          <t>no</t>
        </is>
      </c>
    </row>
    <row r="18">
      <c r="A18" s="76" t="inlineStr">
        <is>
          <t>regard</t>
        </is>
      </c>
      <c r="B18" s="76" t="inlineStr">
        <is>
          <t>regard</t>
        </is>
      </c>
      <c r="C18" s="76" t="inlineStr">
        <is>
          <t>devoted · warm · civil · cool · hostile</t>
        </is>
      </c>
      <c r="D18" s="76" t="inlineStr">
        <is>
          <t>HELD ON A CONNECTION, never on the target</t>
        </is>
      </c>
      <c r="E18" s="76" t="inlineStr">
        <is>
          <t>no</t>
        </is>
      </c>
    </row>
    <row r="19">
      <c r="A19" s="76" t="inlineStr">
        <is>
          <t>essence</t>
        </is>
      </c>
      <c r="B19" s="76" t="inlineStr">
        <is>
          <t>essence</t>
        </is>
      </c>
      <c r="C19" s="76" t="inlineStr">
        <is>
          <t>whole · thinned · frayed · hollow</t>
        </is>
      </c>
      <c r="D19" s="76" t="inlineStr">
        <is>
          <t>Creature (mystic Settings)</t>
        </is>
      </c>
      <c r="E19" s="76" t="inlineStr">
        <is>
          <t>maybe</t>
        </is>
      </c>
    </row>
    <row r="20">
      <c r="A20" s="76" t="inlineStr">
        <is>
          <t>temperature  ** BIPOLAR **</t>
        </is>
      </c>
      <c r="B20" s="76" t="inlineStr">
        <is>
          <t>temperature</t>
        </is>
      </c>
      <c r="C20" s="76" t="inlineStr">
        <is>
          <t>scorched · seared · hot · TEMPERATE · cold · chilled · frozen</t>
        </is>
      </c>
      <c r="D20" s="76" t="inlineStr">
        <is>
          <t>Creature · Item · Place</t>
        </is>
      </c>
      <c r="E20" s="76" t="inlineStr">
        <is>
          <t>no</t>
        </is>
      </c>
    </row>
    <row r="21">
      <c r="A21" s="76" t="inlineStr">
        <is>
          <t>working  ** BIPOLAR **</t>
        </is>
      </c>
      <c r="B21" s="76" t="inlineStr">
        <is>
          <t>working</t>
        </is>
      </c>
      <c r="C21" s="76" t="inlineStr">
        <is>
          <t>surging · charged · QUIET · dampened · sealed</t>
        </is>
      </c>
      <c r="D21" s="76" t="inlineStr">
        <is>
          <t>Creature · Phenomenon (if magical)</t>
        </is>
      </c>
      <c r="E21" s="76" t="inlineStr">
        <is>
          <t>no</t>
        </is>
      </c>
    </row>
    <row r="23">
      <c r="A23" s="76" t="inlineStr">
        <is>
          <t>EVERY DIMENSION PUSHES AT LEAST ONE TRACK — a CI invariant, not a coincidence. A Dimension with nothing to land on is a dead axis, which is the failure that leaves a quarter of a published bestiary immune to poison and nothing at all resisting force. BANDS ARE RULESET CONTENT; Tracks and Thresholds are Substrate. A Setting may band and name differently.</t>
        </is>
      </c>
    </row>
    <row r="25">
      <c r="A25" s="71" t="inlineStr">
        <is>
          <t>CONSIDERED AND REJECTED</t>
        </is>
      </c>
    </row>
    <row r="26">
      <c r="A26" s="72" t="inlineStr">
        <is>
          <t>posture · awareness · consciousness · access · spread · intensity</t>
        </is>
      </c>
      <c r="B26" s="72" t="inlineStr"/>
      <c r="C26" s="72" t="inlineStr"/>
      <c r="D26" s="72" t="inlineStr"/>
      <c r="E26" s="72" t="inlineStr">
        <is>
          <t>COLLAPSED. Each was an invented axis that turns out to be a band on a Dimension Track. Posture is low mobility — being knocked down IS a mobility push, and standing up is a Verb that restores it.</t>
        </is>
      </c>
    </row>
    <row r="27">
      <c r="A27" s="72" t="inlineStr">
        <is>
          <t>enumerated members (standing / prone / seated)</t>
        </is>
      </c>
      <c r="B27" s="72" t="inlineStr"/>
      <c r="C27" s="72" t="inlineStr"/>
      <c r="D27" s="72" t="inlineStr"/>
      <c r="E27" s="72" t="inlineStr">
        <is>
          <t>REJECTED. A State is a MAGNITUDE. The named condition is a label on a range of it.</t>
        </is>
      </c>
    </row>
    <row r="28">
      <c r="A28" s="72" t="inlineStr">
        <is>
          <t>additive magnitudes</t>
        </is>
      </c>
      <c r="B28" s="72" t="inlineStr"/>
      <c r="C28" s="72" t="inlineStr"/>
      <c r="D28" s="72" t="inlineStr"/>
      <c r="E28" s="72" t="inlineStr">
        <is>
          <t>REJECTED — a Track CLAMPS to its bounds. Additive stacking makes any repeatable source unbounded.</t>
        </is>
      </c>
    </row>
    <row r="29">
      <c r="A29" s="72" t="inlineStr">
        <is>
          <t>conditions that imply other conditions</t>
        </is>
      </c>
      <c r="B29" s="72" t="inlineStr"/>
      <c r="C29" s="72" t="inlineStr"/>
      <c r="D29" s="72" t="inlineStr"/>
      <c r="E29" s="72" t="inlineStr">
        <is>
          <t>REJECTED. Same failure as tag hierarchy — 5e paralyzed/stunned/unconscious all include incapacitated, and the 2024 revision had to widen incapacitated, cascading to all three.</t>
        </is>
      </c>
    </row>
    <row r="30">
      <c r="A30" s="72" t="inlineStr">
        <is>
          <t>intrinsic durations (save-ends, N rounds)</t>
        </is>
      </c>
      <c r="B30" s="72" t="inlineStr"/>
      <c r="C30" s="72" t="inlineStr"/>
      <c r="D30" s="72" t="inlineStr"/>
      <c r="E30" s="72" t="inlineStr">
        <is>
          <t>REJECTED. A Track changes only by a Verb. 5e conditions have no intrinsic duration either, and it is the most-played RPG in the world.</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PRELIMINARY · CLOSE LAST</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L7 · Layers</t>
        </is>
      </c>
    </row>
    <row r="2" ht="15" customHeight="1" s="19">
      <c r="A2" s="28" t="inlineStr">
        <is>
          <t>PARTIAL · BLOCKING</t>
        </is>
      </c>
    </row>
    <row r="3" ht="30" customHeight="1" s="19">
      <c r="A3" s="21" t="inlineStr">
        <is>
          <t>The precedence lattice. Resolution region is drafted (E-/C-/R-). What is open is everything outside resolution.</t>
        </is>
      </c>
    </row>
    <row r="4" ht="30" customHeight="1" s="19">
      <c r="A4" s="32" t="inlineStr">
        <is>
          <t>REVISED — the resolution region is now THIRTY slots (E×5, C×6, R×19) after Phase 0 and the L21–L23 work. What remains is everything OUTSIDE resolution.</t>
        </is>
      </c>
    </row>
    <row r="6" ht="15" customHeight="1" s="19">
      <c r="A6" s="33" t="inlineStr">
        <is>
          <t>Slot</t>
        </is>
      </c>
      <c r="B6" s="33" t="inlineStr">
        <is>
          <t>Region</t>
        </is>
      </c>
      <c r="C6" s="33" t="inlineStr">
        <is>
          <t>Name</t>
        </is>
      </c>
      <c r="D6" s="33" t="inlineStr">
        <is>
          <t>What belongs here</t>
        </is>
      </c>
      <c r="E6" s="33" t="inlineStr">
        <is>
          <t>May depend on (earlier slots only)</t>
        </is>
      </c>
    </row>
    <row r="7" ht="23.85" customHeight="1" s="19">
      <c r="A7" s="34" t="inlineStr">
        <is>
          <t>R-400</t>
        </is>
      </c>
      <c r="B7" s="34" t="inlineStr">
        <is>
          <t>Resolution</t>
        </is>
      </c>
      <c r="C7" s="34" t="inlineStr">
        <is>
          <t>Apply percentage</t>
        </is>
      </c>
      <c r="D7" s="34" t="inlineStr">
        <is>
          <t>The one multiplication; truncate toward zero</t>
        </is>
      </c>
      <c r="E7" s="34" t="inlineStr">
        <is>
          <t>R-300, R-350</t>
        </is>
      </c>
      <c r="F7" s="35" t="inlineStr">
        <is>
          <t>← example, not data</t>
        </is>
      </c>
    </row>
    <row r="8" ht="15" customHeight="1" s="19">
      <c r="A8" s="36" t="inlineStr">
        <is>
          <t>E-100 … E-500</t>
        </is>
      </c>
      <c r="B8" s="36" t="inlineStr">
        <is>
          <t>entity</t>
        </is>
      </c>
      <c r="C8" s="36" t="inlineStr">
        <is>
          <t>preparing an Entity</t>
        </is>
      </c>
      <c r="D8" s="36" t="inlineStr">
        <is>
          <t>existence, Categories, its own numbers, its ceilings</t>
        </is>
      </c>
      <c r="E8" s="36" t="inlineStr">
        <is>
          <t>—</t>
        </is>
      </c>
    </row>
    <row r="9" ht="15" customHeight="1" s="19">
      <c r="A9" s="36" t="inlineStr">
        <is>
          <t>C-100 … C-600</t>
        </is>
      </c>
      <c r="B9" s="36" t="inlineStr">
        <is>
          <t>creation</t>
        </is>
      </c>
      <c r="C9" s="36" t="inlineStr">
        <is>
          <t>creating a vector</t>
        </is>
      </c>
      <c r="D9" s="36" t="inlineStr">
        <is>
          <t>everything the source contributes, collapsed to a direction and four numbers</t>
        </is>
      </c>
      <c r="E9" s="36" t="inlineStr">
        <is>
          <t>E-region</t>
        </is>
      </c>
    </row>
    <row r="10" ht="15" customHeight="1" s="19">
      <c r="A10" s="36" t="inlineStr">
        <is>
          <t>R-100 … R-1400</t>
        </is>
      </c>
      <c r="B10" s="36" t="inlineStr">
        <is>
          <t>resolution</t>
        </is>
      </c>
      <c r="C10" s="36" t="inlineStr">
        <is>
          <t>resolving at a Moment</t>
        </is>
      </c>
      <c r="D10" s="36" t="inlineStr">
        <is>
          <t>gather · ambient · percentages · capacity clamp · apply · absolutes · vector clamp · resolve · SCALE (R-750) · standing cap (R-780, reserved) · combine per source · FLAT GUARDS per source (R-850) · combine across sources (R-1000) · PROPORTIONAL GUARDS (R-1050) · target clamp · land · RESTORE (R-1250) · record · listeners</t>
        </is>
      </c>
      <c r="E10" s="36" t="inlineStr">
        <is>
          <t>E and C regions</t>
        </is>
      </c>
    </row>
    <row r="11" ht="15" customHeight="1" s="19">
      <c r="A11" s="36" t="inlineStr"/>
      <c r="B11" s="36" t="inlineStr"/>
      <c r="C11" s="36" t="inlineStr"/>
      <c r="D11" s="36" t="inlineStr"/>
      <c r="E11" s="36" t="inlineStr"/>
    </row>
    <row r="12" ht="15" customHeight="1" s="19">
      <c r="A12" s="36" t="inlineStr">
        <is>
          <t>STILL EMPTY — the regions outside resolution:</t>
        </is>
      </c>
      <c r="B12" s="36" t="inlineStr"/>
      <c r="C12" s="36" t="inlineStr"/>
      <c r="D12" s="36" t="inlineStr"/>
      <c r="E12" s="36" t="inlineStr"/>
    </row>
    <row r="13" ht="15" customHeight="1" s="19">
      <c r="A13" s="36" t="inlineStr">
        <is>
          <t>?</t>
        </is>
      </c>
      <c r="B13" s="36" t="inlineStr">
        <is>
          <t>progression</t>
        </is>
      </c>
      <c r="C13" s="36" t="inlineStr">
        <is>
          <t>how a character changes over time</t>
        </is>
      </c>
      <c r="D13" s="36" t="inlineStr"/>
      <c r="E13" s="36" t="inlineStr">
        <is>
          <t>needs its own region</t>
        </is>
      </c>
    </row>
    <row r="14" ht="15" customHeight="1" s="19">
      <c r="A14" s="36" t="inlineStr">
        <is>
          <t>?</t>
        </is>
      </c>
      <c r="B14" s="36" t="inlineStr">
        <is>
          <t>economy</t>
        </is>
      </c>
      <c r="C14" s="36" t="inlineStr">
        <is>
          <t>Budget refresh, upkeep, costs</t>
        </is>
      </c>
      <c r="D14" s="36" t="inlineStr"/>
      <c r="E14" s="36" t="inlineStr">
        <is>
          <t>the A2 upkeep answer lives here</t>
        </is>
      </c>
    </row>
    <row r="15" ht="15" customHeight="1" s="19">
      <c r="A15" s="36" t="inlineStr">
        <is>
          <t>?</t>
        </is>
      </c>
      <c r="B15" s="36" t="inlineStr">
        <is>
          <t>movement</t>
        </is>
      </c>
      <c r="C15" s="36" t="inlineStr">
        <is>
          <t>position, travel, pursuit</t>
        </is>
      </c>
      <c r="D15" s="36" t="inlineStr"/>
      <c r="E15" s="36" t="inlineStr">
        <is>
          <t>interacts with the new mobility Dimension</t>
        </is>
      </c>
    </row>
    <row r="16" ht="15" customHeight="1" s="19">
      <c r="A16" s="36" t="inlineStr">
        <is>
          <t>?</t>
        </is>
      </c>
      <c r="B16" s="36" t="inlineStr">
        <is>
          <t>knowledge</t>
        </is>
      </c>
      <c r="C16" s="36" t="inlineStr">
        <is>
          <t>what is known, by whom, when</t>
        </is>
      </c>
      <c r="D16" s="36" t="inlineStr"/>
      <c r="E16" s="36" t="inlineStr">
        <is>
          <t>Almanac</t>
        </is>
      </c>
    </row>
    <row r="17" ht="15" customHeight="1" s="19">
      <c r="A17" s="36" t="inlineStr">
        <is>
          <t>?</t>
        </is>
      </c>
      <c r="B17" s="36" t="inlineStr">
        <is>
          <t>social standing</t>
        </is>
      </c>
      <c r="C17" s="36" t="inlineStr">
        <is>
          <t>reputation over time, decay</t>
        </is>
      </c>
      <c r="D17" s="36" t="inlineStr"/>
      <c r="E17" s="36" t="inlineStr">
        <is>
          <t>interacts with the new standing Dimension</t>
        </is>
      </c>
    </row>
    <row r="18" ht="15" customHeight="1" s="19">
      <c r="A18" s="36" t="inlineStr"/>
      <c r="B18" s="36" t="inlineStr"/>
      <c r="C18" s="36" t="inlineStr"/>
      <c r="D18" s="36" t="inlineStr"/>
      <c r="E18" s="36" t="inlineStr"/>
    </row>
    <row r="19" ht="15" customHeight="1" s="19">
      <c r="A19" s="36" t="inlineStr">
        <is>
          <t>THE TEST: take a mechanic you want. Write out what must already be settled before it can be computed. If no existing slot supplies it, that is a new slot.</t>
        </is>
      </c>
      <c r="B19" s="36" t="inlineStr"/>
      <c r="C19" s="36" t="inlineStr"/>
      <c r="D19" s="36" t="inlineStr"/>
      <c r="E19" s="36" t="inlineStr"/>
    </row>
    <row r="20" ht="15" customHeight="1" s="19">
      <c r="A20" s="36" t="inlineStr">
        <is>
          <t>ERR HIGH. Gaps of 100 so 650 can be inserted. An unused slot costs nothing; a missing one is a foundation break.</t>
        </is>
      </c>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outlinePr summaryBelow="1" summaryRight="1"/>
    <pageSetUpPr/>
  </sheetPr>
  <dimension ref="A1:E17"/>
  <sheetViews>
    <sheetView workbookViewId="0">
      <pane ySplit="6" topLeftCell="A7" activePane="bottomLeft" state="frozen"/>
      <selection pane="bottomLeft" activeCell="A1" sqref="A1"/>
    </sheetView>
  </sheetViews>
  <sheetFormatPr baseColWidth="8" defaultRowHeight="15"/>
  <cols>
    <col width="18" customWidth="1" style="19" min="1" max="1"/>
    <col width="34" customWidth="1" style="19" min="2" max="2"/>
    <col width="34" customWidth="1" style="19" min="3" max="3"/>
    <col width="80" customWidth="1" style="19" min="4" max="4"/>
  </cols>
  <sheetData>
    <row r="1">
      <c r="A1" s="63" t="inlineStr">
        <is>
          <t>L18 · Aggregation operators</t>
        </is>
      </c>
    </row>
    <row r="2">
      <c r="A2" s="64" t="inlineStr">
        <is>
          <t>SETTLED · Aug 2026</t>
        </is>
      </c>
    </row>
    <row r="3">
      <c r="A3" s="65" t="inlineStr">
        <is>
          <t>How multiple contributions to one value combine, for the Noun kinds outside the resolution path.</t>
        </is>
      </c>
    </row>
    <row r="4">
      <c r="A4" s="66" t="inlineStr">
        <is>
          <t>THE TRACK MERGE COLLAPSED MOST OF THIS LIST. Four Noun kinds, four rules.</t>
        </is>
      </c>
    </row>
    <row r="6">
      <c r="A6" s="67" t="inlineStr">
        <is>
          <t>Noun kind</t>
        </is>
      </c>
      <c r="B6" s="67" t="inlineStr">
        <is>
          <t>Operator</t>
        </is>
      </c>
      <c r="C6" s="67" t="inlineStr">
        <is>
          <t>Why</t>
        </is>
      </c>
      <c r="D6" s="67" t="inlineStr">
        <is>
          <t>Notes</t>
        </is>
      </c>
    </row>
    <row r="7">
      <c r="A7" s="68" t="inlineStr">
        <is>
          <t>State</t>
        </is>
      </c>
      <c r="B7" s="68" t="inlineStr">
        <is>
          <t>max</t>
        </is>
      </c>
      <c r="C7" s="68" t="inlineStr">
        <is>
          <t>—</t>
        </is>
      </c>
      <c r="D7" s="68" t="inlineStr">
        <is>
          <t>GONE — merged into Track, Aug 2026.</t>
        </is>
      </c>
      <c r="E7" s="69" t="inlineStr">
        <is>
          <t>← example, not data</t>
        </is>
      </c>
    </row>
    <row r="8">
      <c r="A8" s="76" t="inlineStr">
        <is>
          <t>Track</t>
        </is>
      </c>
      <c r="B8" s="76" t="inlineStr">
        <is>
          <t>clamp to its bounds</t>
        </is>
      </c>
      <c r="C8" s="76" t="inlineStr">
        <is>
          <t>one kind, one rule</t>
        </is>
      </c>
      <c r="D8" s="76" t="inlineStr">
        <is>
          <t>Absorbed State's max and Resource's clamp.</t>
        </is>
      </c>
    </row>
    <row r="9">
      <c r="A9" s="76" t="inlineStr">
        <is>
          <t>Tag</t>
        </is>
      </c>
      <c r="B9" s="76" t="inlineStr">
        <is>
          <t>union for membership; magnitudes ADD</t>
        </is>
      </c>
      <c r="C9" s="76" t="inlineStr">
        <is>
          <t>two torches make a brighter room</t>
        </is>
      </c>
      <c r="D9" s="76" t="inlineStr">
        <is>
          <t>A Tag that should NOT add is a PROPERTY, and properties are SET at creation rather than GRANTED by effects. Mass is set; illumination is granted. So no per-Tag operator is needed.</t>
        </is>
      </c>
    </row>
    <row r="10">
      <c r="A10" s="76" t="inlineStr">
        <is>
          <t>Capacity</t>
        </is>
      </c>
      <c r="B10" s="76" t="inlineStr">
        <is>
          <t>none needed</t>
        </is>
      </c>
      <c r="C10" s="76" t="inlineStr">
        <is>
          <t>increases are Modifiers</t>
        </is>
      </c>
      <c r="D10" s="76" t="inlineStr">
        <is>
          <t>Handled at R-300 and R-500.</t>
        </is>
      </c>
    </row>
    <row r="11">
      <c r="A11" s="76" t="inlineStr">
        <is>
          <t>Relationship</t>
        </is>
      </c>
      <c r="B11" s="76" t="inlineStr">
        <is>
          <t>NEVER MERGE</t>
        </is>
      </c>
      <c r="C11" s="76" t="inlineStr">
        <is>
          <t>each stance stands alone</t>
        </is>
      </c>
      <c r="D11" s="76" t="inlineStr">
        <is>
          <t>The whole reason a Relationship is an Entity and not an edge.</t>
        </is>
      </c>
    </row>
    <row r="13">
      <c r="A13" s="76" t="inlineStr">
        <is>
          <t>THE TEST: apply each operator to the same three inputs in SIX different orders. Any operator that gives different answers is wrong. This list is named in the architecture as the single most likely source of "the same Ledger produced different state."</t>
        </is>
      </c>
    </row>
    <row r="15">
      <c r="A15" s="71" t="inlineStr">
        <is>
          <t>CONSIDERED AND REJECTED</t>
        </is>
      </c>
    </row>
    <row r="16">
      <c r="A16" s="72" t="inlineStr">
        <is>
          <t>lowest (for Thresholds)</t>
        </is>
      </c>
      <c r="B16" s="72" t="inlineStr"/>
      <c r="C16" s="72" t="inlineStr"/>
      <c r="D16" s="72" t="inlineStr">
        <is>
          <t>REJECTED in Phase 0 — a weakest-link rule punishes the party for letting anyone participate. Threshold modes are sum, highest and each.</t>
        </is>
      </c>
    </row>
    <row r="17">
      <c r="A17" s="72" t="inlineStr">
        <is>
          <t>compounding percentages</t>
        </is>
      </c>
      <c r="B17" s="72" t="inlineStr"/>
      <c r="C17" s="72" t="inlineStr"/>
      <c r="D17" s="72" t="inlineStr">
        <is>
          <t>REJECTED in Phase 0 — percentages SUM and apply once. Nothing compounds anywhere.</t>
        </is>
      </c>
    </row>
  </sheetData>
  <pageMargins left="0.75" right="0.75" top="1" bottom="1" header="0.5" footer="0.5"/>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thermal, kinetic, vital</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thermal, kinetic, vital, corrosive, vigor?</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Resource,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(column R checks it). No two Channels may share a position.</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49" t="inlineStr">
        <is>
          <t>FORCE &amp; WEAPONS</t>
        </is>
      </c>
      <c r="B7" s="50" t="inlineStr">
        <is>
          <t>impact</t>
        </is>
      </c>
      <c r="C7" s="34" t="inlineStr">
        <is>
          <t>thermal +1.0</t>
        </is>
      </c>
      <c r="D7" s="51" t="n">
        <v>-100</v>
      </c>
      <c r="E7" s="34" t="inlineStr">
        <is>
          <t>transient</t>
        </is>
      </c>
      <c r="F7" s="34" t="inlineStr">
        <is>
          <t>Creating a damage type means placing it. Its relationship to every existing type is then already determined</t>
        </is>
      </c>
      <c r="G7" s="35" t="inlineStr">
        <is>
          <t>← example, not data</t>
        </is>
      </c>
      <c r="Q7" s="18">
        <f>IF(SUMPRODUCT(ABS(C7:P7))=100,"ok","*** FIX ***")</f>
        <v/>
      </c>
    </row>
    <row r="8" ht="15" customHeight="1" s="19">
      <c r="A8" s="52" t="inlineStr">
        <is>
          <t>FORCE &amp; WEAPONS</t>
        </is>
      </c>
      <c r="B8" s="40" t="inlineStr">
        <is>
          <t>pierce</t>
        </is>
      </c>
      <c r="C8" s="36" t="inlineStr">
        <is>
          <t>thermal +1.0</t>
        </is>
      </c>
      <c r="D8" s="53" t="n">
        <v>-80</v>
      </c>
      <c r="E8" s="36" t="inlineStr">
        <is>
          <t>transient</t>
        </is>
      </c>
      <c r="F8" s="53" t="n">
        <v>-20</v>
      </c>
      <c r="Q8" s="18">
        <f>IF(SUMPRODUCT(ABS(C8:P8))=100,"ok","*** FIX ***")</f>
        <v/>
      </c>
    </row>
    <row r="9" ht="15" customHeight="1" s="19">
      <c r="A9" s="52" t="inlineStr">
        <is>
          <t>FORCE &amp; WEAPONS</t>
        </is>
      </c>
      <c r="B9" s="40" t="inlineStr">
        <is>
          <t>rend</t>
        </is>
      </c>
      <c r="C9" s="36" t="inlineStr">
        <is>
          <t>thermal −1.0</t>
        </is>
      </c>
      <c r="D9" s="53" t="n">
        <v>-60</v>
      </c>
      <c r="E9" s="36" t="inlineStr">
        <is>
          <t>transient</t>
        </is>
      </c>
      <c r="F9" s="53" t="n">
        <v>-40</v>
      </c>
      <c r="Q9" s="18">
        <f>IF(SUMPRODUCT(ABS(C9:P9))=100,"ok","*** FIX ***")</f>
        <v/>
      </c>
    </row>
    <row r="10" ht="15" customHeight="1" s="19">
      <c r="A10" s="52" t="inlineStr">
        <is>
          <t>FORCE &amp; WEAPONS</t>
        </is>
      </c>
      <c r="B10" s="40" t="inlineStr">
        <is>
          <t>bleed</t>
        </is>
      </c>
      <c r="C10" s="36" t="inlineStr">
        <is>
          <t>kinetic +1.0</t>
        </is>
      </c>
      <c r="D10" s="53" t="n">
        <v>-30</v>
      </c>
      <c r="E10" s="36" t="inlineStr">
        <is>
          <t>transient</t>
        </is>
      </c>
      <c r="F10" s="53" t="n">
        <v>-70</v>
      </c>
      <c r="Q10" s="18">
        <f>IF(SUMPRODUCT(ABS(C10:P10))=100,"ok","*** FIX ***")</f>
        <v/>
      </c>
    </row>
    <row r="11" ht="15" customHeight="1" s="19">
      <c r="A11" s="52" t="inlineStr">
        <is>
          <t>FORCE &amp; WEAPONS</t>
        </is>
      </c>
      <c r="B11" s="40" t="inlineStr">
        <is>
          <t>crush</t>
        </is>
      </c>
      <c r="C11" s="36" t="inlineStr">
        <is>
          <t>thermal +0.3, kinetic +0.7</t>
        </is>
      </c>
      <c r="D11" s="53" t="n">
        <v>-70</v>
      </c>
      <c r="E11" s="53" t="n">
        <v>-30</v>
      </c>
      <c r="F11" s="36" t="inlineStr">
        <is>
          <t>PROPOSED. The interior Channel that proves the Space is worth having</t>
        </is>
      </c>
      <c r="Q11" s="18">
        <f>IF(SUMPRODUCT(ABS(C11:P11))=100,"ok","*** FIX ***")</f>
        <v/>
      </c>
    </row>
    <row r="12" ht="15" customHeight="1" s="19">
      <c r="A12" s="52" t="inlineStr">
        <is>
          <t>FORCE &amp; WEAPONS</t>
        </is>
      </c>
      <c r="B12" s="40" t="inlineStr">
        <is>
          <t>stagger</t>
        </is>
      </c>
      <c r="C12" s="36" t="inlineStr">
        <is>
          <t>vital +1.0</t>
        </is>
      </c>
      <c r="D12" s="53" t="n">
        <v>-50</v>
      </c>
      <c r="E12" s="36" t="inlineStr">
        <is>
          <t>persistent</t>
        </is>
      </c>
      <c r="F12" s="36" t="inlineStr">
        <is>
          <t>PROPOSED. Persistent — it keeps working</t>
        </is>
      </c>
      <c r="G12" s="54" t="n">
        <v>-50</v>
      </c>
      <c r="Q12" s="18">
        <f>IF(SUMPRODUCT(ABS(C12:P12))=100,"ok","*** FIX ***")</f>
        <v/>
      </c>
    </row>
    <row r="13" ht="15" customHeight="1" s="19">
      <c r="A13" s="52" t="inlineStr">
        <is>
          <t>FORCE &amp; WEAPONS</t>
        </is>
      </c>
      <c r="B13" s="40" t="inlineStr">
        <is>
          <t>concussion</t>
        </is>
      </c>
      <c r="C13" s="36" t="inlineStr">
        <is>
          <t>corrosive +0.7, thermal +0.3</t>
        </is>
      </c>
      <c r="D13" s="53" t="n">
        <v>-50</v>
      </c>
      <c r="E13" s="36" t="inlineStr">
        <is>
          <t>persistent</t>
        </is>
      </c>
      <c r="F13" s="36" t="inlineStr">
        <is>
          <t>PROPOSED. Second interior Channel</t>
        </is>
      </c>
      <c r="K13" s="54" t="n">
        <v>-50</v>
      </c>
      <c r="Q13" s="18">
        <f>IF(SUMPRODUCT(ABS(C13:P13))=100,"ok","*** FIX ***")</f>
        <v/>
      </c>
    </row>
    <row r="14" ht="15" customHeight="1" s="19">
      <c r="A14" s="52" t="inlineStr">
        <is>
          <t>FORCE &amp; WEAPONS</t>
        </is>
      </c>
      <c r="B14" s="40" t="inlineStr">
        <is>
          <t>knockdown</t>
        </is>
      </c>
      <c r="C14" s="36" t="inlineStr">
        <is>
          <t>thermal +0.6, vital +0.4</t>
        </is>
      </c>
      <c r="D14" s="53" t="n">
        <v>-40</v>
      </c>
      <c r="E14" s="36" t="inlineStr">
        <is>
          <t>transient</t>
        </is>
      </c>
      <c r="F14" s="36" t="inlineStr">
        <is>
          <t>PROPOSED. Third interior Channel — the target is at least three</t>
        </is>
      </c>
      <c r="H14" s="54" t="n">
        <v>-60</v>
      </c>
      <c r="Q14" s="18">
        <f>IF(SUMPRODUCT(ABS(C14:P14))=100,"ok","*** FIX ***")</f>
        <v/>
      </c>
    </row>
    <row r="15" ht="15" customHeight="1" s="19">
      <c r="A15" s="52" t="inlineStr">
        <is>
          <t>ELEMENTS</t>
        </is>
      </c>
      <c r="B15" s="40" t="inlineStr">
        <is>
          <t>fire</t>
        </is>
      </c>
      <c r="C15" s="55" t="n">
        <v>100</v>
      </c>
      <c r="D15" s="36" t="inlineStr">
        <is>
          <t>1.0</t>
        </is>
      </c>
      <c r="E15" s="36" t="inlineStr">
        <is>
          <t>transient</t>
        </is>
      </c>
      <c r="F15" s="36" t="inlineStr">
        <is>
          <t>PROPOSED. Fear, at the cost of some standing</t>
        </is>
      </c>
      <c r="Q15" s="18">
        <f>IF(SUMPRODUCT(ABS(C15:P15))=100,"ok","*** FIX ***")</f>
        <v/>
      </c>
    </row>
    <row r="16" ht="15" customHeight="1" s="19">
      <c r="A16" s="52" t="inlineStr">
        <is>
          <t>ELEMENTS</t>
        </is>
      </c>
      <c r="B16" s="40" t="inlineStr">
        <is>
          <t>frost</t>
        </is>
      </c>
      <c r="C16" s="53" t="n">
        <v>-100</v>
      </c>
      <c r="D16" s="36" t="inlineStr">
        <is>
          <t>1.0</t>
        </is>
      </c>
      <c r="E16" s="36" t="inlineStr">
        <is>
          <t>transient</t>
        </is>
      </c>
      <c r="F16" s="36" t="inlineStr">
        <is>
          <t>PROPOSED</t>
        </is>
      </c>
      <c r="Q16" s="18">
        <f>IF(SUMPRODUCT(ABS(C16:P16))=100,"ok","*** FIX ***")</f>
        <v/>
      </c>
    </row>
    <row r="17" ht="15" customHeight="1" s="19">
      <c r="A17" s="52" t="inlineStr">
        <is>
          <t>ELEMENTS</t>
        </is>
      </c>
      <c r="B17" s="40" t="inlineStr">
        <is>
          <t>lightning</t>
        </is>
      </c>
      <c r="C17" s="55" t="n">
        <v>30</v>
      </c>
      <c r="D17" s="53" t="n">
        <v>-70</v>
      </c>
      <c r="E17" s="36" t="inlineStr"/>
      <c r="F17" s="36" t="inlineStr"/>
      <c r="Q17" s="18">
        <f>IF(SUMPRODUCT(ABS(C17:P17))=100,"ok","*** FIX ***")</f>
        <v/>
      </c>
    </row>
    <row r="18" ht="15" customHeight="1" s="19">
      <c r="A18" s="52" t="inlineStr">
        <is>
          <t>ELEMENTS</t>
        </is>
      </c>
      <c r="B18" s="40" t="inlineStr">
        <is>
          <t>blast</t>
        </is>
      </c>
      <c r="C18" s="55" t="n">
        <v>50</v>
      </c>
      <c r="D18" s="53" t="n">
        <v>-50</v>
      </c>
      <c r="E18" s="36" t="inlineStr"/>
      <c r="F18" s="36" t="inlineStr"/>
      <c r="Q18" s="18">
        <f>IF(SUMPRODUCT(ABS(C18:P18))=100,"ok","*** FIX ***")</f>
        <v/>
      </c>
    </row>
    <row r="19" ht="15" customHeight="1" s="19">
      <c r="A19" s="52" t="inlineStr">
        <is>
          <t>ELEMENTS</t>
        </is>
      </c>
      <c r="B19" s="40" t="inlineStr">
        <is>
          <t>shockwave</t>
        </is>
      </c>
      <c r="C19" s="36" t="inlineStr"/>
      <c r="D19" s="53" t="n">
        <v>-60</v>
      </c>
      <c r="E19" s="36" t="inlineStr"/>
      <c r="F19" s="36" t="inlineStr"/>
      <c r="I19" s="54" t="n">
        <v>-40</v>
      </c>
      <c r="Q19" s="18">
        <f>IF(SUMPRODUCT(ABS(C19:P19))=100,"ok","*** FIX ***")</f>
        <v/>
      </c>
    </row>
    <row r="20" ht="15" customHeight="1" s="19">
      <c r="A20" s="56" t="inlineStr">
        <is>
          <t>ELEMENTS</t>
        </is>
      </c>
      <c r="B20" s="57" t="inlineStr">
        <is>
          <t>acid</t>
        </is>
      </c>
      <c r="C20" s="37" t="n"/>
      <c r="D20" s="37" t="n"/>
      <c r="E20" s="51" t="n">
        <v>-100</v>
      </c>
      <c r="F20" s="37" t="n"/>
      <c r="Q20" s="18">
        <f>IF(SUMPRODUCT(ABS(C20:P20))=100,"ok","*** FIX ***")</f>
        <v/>
      </c>
    </row>
    <row r="21" ht="15" customHeight="1" s="19">
      <c r="A21" s="56" t="inlineStr">
        <is>
          <t>ELEMENTS</t>
        </is>
      </c>
      <c r="B21" s="57" t="inlineStr">
        <is>
          <t>molten</t>
        </is>
      </c>
      <c r="C21" s="58" t="n">
        <v>50</v>
      </c>
      <c r="D21" s="37" t="n"/>
      <c r="E21" s="51" t="n">
        <v>-50</v>
      </c>
      <c r="F21" s="37" t="n"/>
      <c r="Q21" s="18">
        <f>IF(SUMPRODUCT(ABS(C21:P21))=100,"ok","*** FIX ***")</f>
        <v/>
      </c>
    </row>
    <row r="22" ht="15" customHeight="1" s="19">
      <c r="A22" s="56" t="inlineStr">
        <is>
          <t>ELEMENTS</t>
        </is>
      </c>
      <c r="B22" s="57" t="inlineStr">
        <is>
          <t>scald</t>
        </is>
      </c>
      <c r="C22" s="58" t="n">
        <v>60</v>
      </c>
      <c r="D22" s="37" t="n"/>
      <c r="E22" s="37" t="n"/>
      <c r="F22" s="51" t="n">
        <v>-40</v>
      </c>
      <c r="Q22" s="18">
        <f>IF(SUMPRODUCT(ABS(C22:P22))=100,"ok","*** FIX ***")</f>
        <v/>
      </c>
    </row>
    <row r="23" ht="15" customHeight="1" s="19">
      <c r="A23" s="56" t="inlineStr">
        <is>
          <t>ELEMENTS</t>
        </is>
      </c>
      <c r="B23" s="57" t="inlineStr">
        <is>
          <t>frostbite</t>
        </is>
      </c>
      <c r="C23" s="51" t="n">
        <v>-50</v>
      </c>
      <c r="D23" s="37" t="n"/>
      <c r="E23" s="37" t="n"/>
      <c r="F23" s="51" t="n">
        <v>-50</v>
      </c>
      <c r="Q23" s="18">
        <f>IF(SUMPRODUCT(ABS(C23:P23))=100,"ok","*** FIX ***")</f>
        <v/>
      </c>
    </row>
    <row r="24" ht="15" customHeight="1" s="19">
      <c r="A24" s="56" t="inlineStr">
        <is>
          <t>ELEMENTS</t>
        </is>
      </c>
      <c r="B24" s="57" t="inlineStr">
        <is>
          <t>exposure</t>
        </is>
      </c>
      <c r="C24" s="51" t="n">
        <v>-40</v>
      </c>
      <c r="D24" s="37" t="n"/>
      <c r="E24" s="37" t="n"/>
      <c r="F24" s="37" t="n"/>
      <c r="G24" s="54" t="n">
        <v>-60</v>
      </c>
      <c r="Q24" s="18">
        <f>IF(SUMPRODUCT(ABS(C24:P24))=100,"ok","*** FIX ***")</f>
        <v/>
      </c>
    </row>
    <row r="25" ht="15" customHeight="1" s="19">
      <c r="A25" s="56" t="inlineStr">
        <is>
          <t>ELEMENTS</t>
        </is>
      </c>
      <c r="B25" s="57" t="inlineStr">
        <is>
          <t>flash</t>
        </is>
      </c>
      <c r="C25" s="37" t="n"/>
      <c r="D25" s="37" t="n"/>
      <c r="E25" s="37" t="n"/>
      <c r="F25" s="37" t="n"/>
      <c r="I25" s="54" t="n">
        <v>-70</v>
      </c>
      <c r="K25" s="54" t="n">
        <v>-30</v>
      </c>
      <c r="Q25" s="18">
        <f>IF(SUMPRODUCT(ABS(C25:P25))=100,"ok","*** FIX ***")</f>
        <v/>
      </c>
    </row>
    <row r="26" ht="15" customHeight="1" s="19">
      <c r="A26" s="56" t="inlineStr">
        <is>
          <t>AFFLICTION</t>
        </is>
      </c>
      <c r="B26" s="57" t="inlineStr">
        <is>
          <t>venom</t>
        </is>
      </c>
      <c r="C26" s="37" t="n"/>
      <c r="D26" s="37" t="n"/>
      <c r="E26" s="37" t="n"/>
      <c r="F26" s="51" t="n">
        <v>-70</v>
      </c>
      <c r="K26" s="54" t="n">
        <v>-30</v>
      </c>
      <c r="Q26" s="18">
        <f>IF(SUMPRODUCT(ABS(C26:P26))=100,"ok","*** FIX ***")</f>
        <v/>
      </c>
    </row>
    <row r="27" ht="15" customHeight="1" s="19">
      <c r="A27" s="56" t="inlineStr">
        <is>
          <t>AFFLICTION</t>
        </is>
      </c>
      <c r="B27" s="57" t="inlineStr">
        <is>
          <t>blight</t>
        </is>
      </c>
      <c r="C27" s="37" t="n"/>
      <c r="D27" s="37" t="n"/>
      <c r="E27" s="51" t="n">
        <v>-50</v>
      </c>
      <c r="F27" s="51" t="n">
        <v>-50</v>
      </c>
      <c r="Q27" s="18">
        <f>IF(SUMPRODUCT(ABS(C27:P27))=100,"ok","*** FIX ***")</f>
        <v/>
      </c>
    </row>
    <row r="28" ht="15" customHeight="1" s="19">
      <c r="A28" s="56" t="inlineStr">
        <is>
          <t>AFFLICTION</t>
        </is>
      </c>
      <c r="B28" s="57" t="inlineStr">
        <is>
          <t>agony</t>
        </is>
      </c>
      <c r="C28" s="37" t="n"/>
      <c r="D28" s="37" t="n"/>
      <c r="E28" s="37" t="n"/>
      <c r="F28" s="51" t="n">
        <v>-50</v>
      </c>
      <c r="K28" s="54" t="n">
        <v>-50</v>
      </c>
      <c r="Q28" s="18">
        <f>IF(SUMPRODUCT(ABS(C28:P28))=100,"ok","*** FIX ***")</f>
        <v/>
      </c>
    </row>
    <row r="29" ht="15" customHeight="1" s="19">
      <c r="A29" s="56" t="inlineStr">
        <is>
          <t>AFFLICTION</t>
        </is>
      </c>
      <c r="B29" s="57" t="inlineStr">
        <is>
          <t>fatigue</t>
        </is>
      </c>
      <c r="C29" s="37" t="n"/>
      <c r="D29" s="37" t="n"/>
      <c r="E29" s="37" t="n"/>
      <c r="F29" s="37" t="n"/>
      <c r="G29" s="54" t="n">
        <v>-70</v>
      </c>
      <c r="J29" s="54" t="n">
        <v>-30</v>
      </c>
      <c r="Q29" s="18">
        <f>IF(SUMPRODUCT(ABS(C29:P29))=100,"ok","*** FIX ***")</f>
        <v/>
      </c>
    </row>
    <row r="30" ht="15" customHeight="1" s="19">
      <c r="A30" s="56" t="inlineStr">
        <is>
          <t>AFFLICTION</t>
        </is>
      </c>
      <c r="B30" s="57" t="inlineStr">
        <is>
          <t>wither</t>
        </is>
      </c>
      <c r="C30" s="37" t="n"/>
      <c r="D30" s="37" t="n"/>
      <c r="E30" s="37" t="n"/>
      <c r="F30" s="51" t="n">
        <v>-60</v>
      </c>
      <c r="G30" s="54" t="n">
        <v>-40</v>
      </c>
      <c r="Q30" s="18">
        <f>IF(SUMPRODUCT(ABS(C30:P30))=100,"ok","*** FIX ***")</f>
        <v/>
      </c>
    </row>
    <row r="31" ht="15" customHeight="1" s="19">
      <c r="A31" s="56" t="inlineStr">
        <is>
          <t>AFFLICTION</t>
        </is>
      </c>
      <c r="B31" s="57" t="inlineStr">
        <is>
          <t>rot</t>
        </is>
      </c>
      <c r="C31" s="37" t="n"/>
      <c r="D31" s="37" t="n"/>
      <c r="E31" s="51" t="n">
        <v>-60</v>
      </c>
      <c r="F31" s="37" t="n"/>
      <c r="G31" s="54" t="n">
        <v>-40</v>
      </c>
      <c r="Q31" s="18">
        <f>IF(SUMPRODUCT(ABS(C31:P31))=100,"ok","*** FIX ***")</f>
        <v/>
      </c>
    </row>
    <row r="32" ht="15" customHeight="1" s="19">
      <c r="A32" s="56" t="inlineStr">
        <is>
          <t>AFFLICTION</t>
        </is>
      </c>
      <c r="B32" s="57" t="inlineStr">
        <is>
          <t>numb</t>
        </is>
      </c>
      <c r="C32" s="37" t="n"/>
      <c r="D32" s="37" t="n"/>
      <c r="E32" s="37" t="n"/>
      <c r="F32" s="37" t="n"/>
      <c r="H32" s="54" t="n">
        <v>-40</v>
      </c>
      <c r="I32" s="54" t="n">
        <v>-60</v>
      </c>
      <c r="Q32" s="18">
        <f>IF(SUMPRODUCT(ABS(C32:P32))=100,"ok","*** FIX ***")</f>
        <v/>
      </c>
    </row>
    <row r="33" ht="15" customHeight="1" s="19">
      <c r="A33" s="56" t="inlineStr">
        <is>
          <t>BINDING &amp; MOVEMENT</t>
        </is>
      </c>
      <c r="B33" s="57" t="inlineStr">
        <is>
          <t>slow</t>
        </is>
      </c>
      <c r="C33" s="37" t="n"/>
      <c r="D33" s="37" t="n"/>
      <c r="E33" s="37" t="n"/>
      <c r="F33" s="37" t="n"/>
      <c r="H33" s="54" t="n">
        <v>-100</v>
      </c>
      <c r="Q33" s="18">
        <f>IF(SUMPRODUCT(ABS(C33:P33))=100,"ok","*** FIX ***")</f>
        <v/>
      </c>
    </row>
    <row r="34" ht="15" customHeight="1" s="19">
      <c r="A34" s="56" t="inlineStr">
        <is>
          <t>BINDING &amp; MOVEMENT</t>
        </is>
      </c>
      <c r="B34" s="57" t="inlineStr">
        <is>
          <t>entangle</t>
        </is>
      </c>
      <c r="C34" s="37" t="n"/>
      <c r="D34" s="37" t="n"/>
      <c r="E34" s="37" t="n"/>
      <c r="F34" s="37" t="n"/>
      <c r="G34" s="54" t="n">
        <v>-30</v>
      </c>
      <c r="H34" s="54" t="n">
        <v>-70</v>
      </c>
      <c r="Q34" s="18">
        <f>IF(SUMPRODUCT(ABS(C34:P34))=100,"ok","*** FIX ***")</f>
        <v/>
      </c>
    </row>
    <row r="35" ht="15" customHeight="1" s="19">
      <c r="A35" s="56" t="inlineStr">
        <is>
          <t>BINDING &amp; MOVEMENT</t>
        </is>
      </c>
      <c r="B35" s="57" t="inlineStr">
        <is>
          <t>snare</t>
        </is>
      </c>
      <c r="C35" s="37" t="n"/>
      <c r="D35" s="37" t="n"/>
      <c r="E35" s="37" t="n"/>
      <c r="F35" s="51" t="n">
        <v>-20</v>
      </c>
      <c r="H35" s="54" t="n">
        <v>-80</v>
      </c>
      <c r="Q35" s="18">
        <f>IF(SUMPRODUCT(ABS(C35:P35))=100,"ok","*** FIX ***")</f>
        <v/>
      </c>
    </row>
    <row r="36" ht="15" customHeight="1" s="19">
      <c r="A36" s="56" t="inlineStr">
        <is>
          <t>BINDING &amp; MOVEMENT</t>
        </is>
      </c>
      <c r="B36" s="57" t="inlineStr">
        <is>
          <t>cripple</t>
        </is>
      </c>
      <c r="C36" s="37" t="n"/>
      <c r="D36" s="37" t="n"/>
      <c r="E36" s="37" t="n"/>
      <c r="F36" s="51" t="n">
        <v>-40</v>
      </c>
      <c r="H36" s="54" t="n">
        <v>-60</v>
      </c>
      <c r="Q36" s="18">
        <f>IF(SUMPRODUCT(ABS(C36:P36))=100,"ok","*** FIX ***")</f>
        <v/>
      </c>
    </row>
    <row r="37" ht="15" customHeight="1" s="19">
      <c r="A37" s="56" t="inlineStr">
        <is>
          <t>BINDING &amp; MOVEMENT</t>
        </is>
      </c>
      <c r="B37" s="57" t="inlineStr">
        <is>
          <t>pin</t>
        </is>
      </c>
      <c r="C37" s="37" t="n"/>
      <c r="D37" s="51" t="n">
        <v>-50</v>
      </c>
      <c r="E37" s="37" t="n"/>
      <c r="F37" s="37" t="n"/>
      <c r="H37" s="54" t="n">
        <v>-50</v>
      </c>
      <c r="Q37" s="18">
        <f>IF(SUMPRODUCT(ABS(C37:P37))=100,"ok","*** FIX ***")</f>
        <v/>
      </c>
    </row>
    <row r="38" ht="15" customHeight="1" s="19">
      <c r="A38" s="56" t="inlineStr">
        <is>
          <t>BINDING &amp; MOVEMENT</t>
        </is>
      </c>
      <c r="B38" s="57" t="inlineStr">
        <is>
          <t>petrify</t>
        </is>
      </c>
      <c r="C38" s="37" t="n"/>
      <c r="D38" s="58" t="n">
        <v>40</v>
      </c>
      <c r="E38" s="37" t="n"/>
      <c r="F38" s="37" t="n"/>
      <c r="H38" s="54" t="n">
        <v>-60</v>
      </c>
      <c r="Q38" s="18">
        <f>IF(SUMPRODUCT(ABS(C38:P38))=100,"ok","*** FIX ***")</f>
        <v/>
      </c>
    </row>
    <row r="39" ht="15" customHeight="1" s="19">
      <c r="A39" s="56" t="inlineStr">
        <is>
          <t>FEAR &amp; MIND</t>
        </is>
      </c>
      <c r="B39" s="57" t="inlineStr">
        <is>
          <t>dread</t>
        </is>
      </c>
      <c r="C39" s="37" t="n"/>
      <c r="D39" s="37" t="n"/>
      <c r="E39" s="37" t="n"/>
      <c r="F39" s="37" t="n"/>
      <c r="J39" s="54" t="n">
        <v>-100</v>
      </c>
      <c r="Q39" s="18">
        <f>IF(SUMPRODUCT(ABS(C39:P39))=100,"ok","*** FIX ***")</f>
        <v/>
      </c>
    </row>
    <row r="40" ht="15" customHeight="1" s="19">
      <c r="A40" s="56" t="inlineStr">
        <is>
          <t>FEAR &amp; MIND</t>
        </is>
      </c>
      <c r="B40" s="57" t="inlineStr">
        <is>
          <t>terror</t>
        </is>
      </c>
      <c r="C40" s="37" t="n"/>
      <c r="D40" s="37" t="n"/>
      <c r="E40" s="37" t="n"/>
      <c r="F40" s="37" t="n"/>
      <c r="G40" s="54" t="n">
        <v>-30</v>
      </c>
      <c r="J40" s="54" t="n">
        <v>-70</v>
      </c>
      <c r="Q40" s="18">
        <f>IF(SUMPRODUCT(ABS(C40:P40))=100,"ok","*** FIX ***")</f>
        <v/>
      </c>
    </row>
    <row r="41" ht="15" customHeight="1" s="19">
      <c r="A41" s="56" t="inlineStr">
        <is>
          <t>FEAR &amp; MIND</t>
        </is>
      </c>
      <c r="B41" s="57" t="inlineStr">
        <is>
          <t>confusion</t>
        </is>
      </c>
      <c r="C41" s="37" t="n"/>
      <c r="D41" s="37" t="n"/>
      <c r="E41" s="37" t="n"/>
      <c r="F41" s="37" t="n"/>
      <c r="K41" s="54" t="n">
        <v>-100</v>
      </c>
      <c r="Q41" s="18">
        <f>IF(SUMPRODUCT(ABS(C41:P41))=100,"ok","*** FIX ***")</f>
        <v/>
      </c>
    </row>
    <row r="42" ht="15" customHeight="1" s="19">
      <c r="A42" s="56" t="inlineStr">
        <is>
          <t>FEAR &amp; MIND</t>
        </is>
      </c>
      <c r="B42" s="57" t="inlineStr">
        <is>
          <t>panic</t>
        </is>
      </c>
      <c r="C42" s="37" t="n"/>
      <c r="D42" s="37" t="n"/>
      <c r="E42" s="37" t="n"/>
      <c r="F42" s="37" t="n"/>
      <c r="J42" s="54" t="n">
        <v>-60</v>
      </c>
      <c r="K42" s="54" t="n">
        <v>-40</v>
      </c>
      <c r="Q42" s="18">
        <f>IF(SUMPRODUCT(ABS(C42:P42))=100,"ok","*** FIX ***")</f>
        <v/>
      </c>
    </row>
    <row r="43" ht="15" customHeight="1" s="19">
      <c r="A43" s="56" t="inlineStr">
        <is>
          <t>FEAR &amp; MIND</t>
        </is>
      </c>
      <c r="B43" s="57" t="inlineStr">
        <is>
          <t>charm</t>
        </is>
      </c>
      <c r="C43" s="37" t="n"/>
      <c r="D43" s="37" t="n"/>
      <c r="E43" s="37" t="n"/>
      <c r="F43" s="37" t="n"/>
      <c r="K43" s="54" t="n">
        <v>-30</v>
      </c>
      <c r="L43" s="54" t="n">
        <v>-70</v>
      </c>
      <c r="Q43" s="18">
        <f>IF(SUMPRODUCT(ABS(C43:P43))=100,"ok","*** FIX ***")</f>
        <v/>
      </c>
    </row>
    <row r="44" ht="15" customHeight="1" s="19">
      <c r="A44" s="56" t="inlineStr">
        <is>
          <t>FEAR &amp; MIND</t>
        </is>
      </c>
      <c r="B44" s="57" t="inlineStr">
        <is>
          <t>domination</t>
        </is>
      </c>
      <c r="C44" s="37" t="n"/>
      <c r="D44" s="37" t="n"/>
      <c r="E44" s="37" t="n"/>
      <c r="F44" s="37" t="n"/>
      <c r="L44" s="54" t="n">
        <v>-100</v>
      </c>
      <c r="Q44" s="18">
        <f>IF(SUMPRODUCT(ABS(C44:P44))=100,"ok","*** FIX ***")</f>
        <v/>
      </c>
    </row>
    <row r="45" ht="15" customHeight="1" s="19">
      <c r="A45" s="56" t="inlineStr">
        <is>
          <t>FEAR &amp; MIND</t>
        </is>
      </c>
      <c r="B45" s="57" t="inlineStr">
        <is>
          <t>despair</t>
        </is>
      </c>
      <c r="C45" s="37" t="n"/>
      <c r="D45" s="37" t="n"/>
      <c r="E45" s="37" t="n"/>
      <c r="F45" s="37" t="n"/>
      <c r="J45" s="54" t="n">
        <v>-50</v>
      </c>
      <c r="L45" s="54" t="n">
        <v>-50</v>
      </c>
      <c r="Q45" s="18">
        <f>IF(SUMPRODUCT(ABS(C45:P45))=100,"ok","*** FIX ***")</f>
        <v/>
      </c>
    </row>
    <row r="46" ht="15" customHeight="1" s="19">
      <c r="A46" s="56" t="inlineStr">
        <is>
          <t>FEAR &amp; MIND</t>
        </is>
      </c>
      <c r="B46" s="57" t="inlineStr">
        <is>
          <t>compel</t>
        </is>
      </c>
      <c r="C46" s="37" t="n"/>
      <c r="D46" s="37" t="n"/>
      <c r="E46" s="37" t="n"/>
      <c r="F46" s="37" t="n"/>
      <c r="L46" s="54" t="n">
        <v>-60</v>
      </c>
      <c r="N46" s="54" t="n">
        <v>-40</v>
      </c>
      <c r="Q46" s="18">
        <f>IF(SUMPRODUCT(ABS(C46:P46))=100,"ok","*** FIX ***")</f>
        <v/>
      </c>
    </row>
    <row r="47" ht="15" customHeight="1" s="19">
      <c r="A47" s="56" t="inlineStr">
        <is>
          <t>FEAR &amp; MIND</t>
        </is>
      </c>
      <c r="B47" s="57" t="inlineStr">
        <is>
          <t>daze</t>
        </is>
      </c>
      <c r="C47" s="37" t="n"/>
      <c r="D47" s="37" t="n"/>
      <c r="E47" s="37" t="n"/>
      <c r="F47" s="37" t="n"/>
      <c r="I47" s="54" t="n">
        <v>-40</v>
      </c>
      <c r="K47" s="54" t="n">
        <v>-60</v>
      </c>
      <c r="Q47" s="18">
        <f>IF(SUMPRODUCT(ABS(C47:P47))=100,"ok","*** FIX ***")</f>
        <v/>
      </c>
    </row>
    <row r="48">
      <c r="A48" s="59" t="inlineStr">
        <is>
          <t>FEAR &amp; MIND</t>
        </is>
      </c>
      <c r="B48" s="60" t="inlineStr">
        <is>
          <t>madness</t>
        </is>
      </c>
      <c r="J48" s="54" t="n">
        <v>-50</v>
      </c>
      <c r="K48" s="54" t="n">
        <v>-50</v>
      </c>
      <c r="Q48" s="18">
        <f>IF(SUMPRODUCT(ABS(C48:P48))=100,"ok","*** FIX ***")</f>
        <v/>
      </c>
    </row>
    <row r="49">
      <c r="A49" s="59" t="inlineStr">
        <is>
          <t>FEAR &amp; MIND</t>
        </is>
      </c>
      <c r="B49" s="60" t="inlineStr">
        <is>
          <t>transfix</t>
        </is>
      </c>
      <c r="H49" s="54" t="n">
        <v>-50</v>
      </c>
      <c r="J49" s="54" t="n">
        <v>-50</v>
      </c>
      <c r="Q49" s="18">
        <f>IF(SUMPRODUCT(ABS(C49:P49))=100,"ok","*** FIX ***")</f>
        <v/>
      </c>
    </row>
    <row r="50">
      <c r="A50" s="59" t="inlineStr">
        <is>
          <t>STANDING</t>
        </is>
      </c>
      <c r="B50" s="60" t="inlineStr">
        <is>
          <t>praise</t>
        </is>
      </c>
      <c r="M50" s="61" t="n">
        <v>100</v>
      </c>
      <c r="Q50" s="18">
        <f>IF(SUMPRODUCT(ABS(C50:P50))=100,"ok","*** FIX ***")</f>
        <v/>
      </c>
    </row>
    <row r="51">
      <c r="A51" s="59" t="inlineStr">
        <is>
          <t>STANDING</t>
        </is>
      </c>
      <c r="B51" s="60" t="inlineStr">
        <is>
          <t>scorn</t>
        </is>
      </c>
      <c r="M51" s="54" t="n">
        <v>-100</v>
      </c>
      <c r="Q51" s="18">
        <f>IF(SUMPRODUCT(ABS(C51:P51))=100,"ok","*** FIX ***")</f>
        <v/>
      </c>
    </row>
    <row r="52">
      <c r="A52" s="59" t="inlineStr">
        <is>
          <t>STANDING</t>
        </is>
      </c>
      <c r="B52" s="60" t="inlineStr">
        <is>
          <t>endorse</t>
        </is>
      </c>
      <c r="N52" s="61" t="n">
        <v>100</v>
      </c>
      <c r="Q52" s="18">
        <f>IF(SUMPRODUCT(ABS(C52:P52))=100,"ok","*** FIX ***")</f>
        <v/>
      </c>
    </row>
    <row r="53">
      <c r="A53" s="59" t="inlineStr">
        <is>
          <t>STANDING</t>
        </is>
      </c>
      <c r="B53" s="60" t="inlineStr">
        <is>
          <t>discredit</t>
        </is>
      </c>
      <c r="N53" s="54" t="n">
        <v>-100</v>
      </c>
      <c r="Q53" s="18">
        <f>IF(SUMPRODUCT(ABS(C53:P53))=100,"ok","*** FIX ***")</f>
        <v/>
      </c>
    </row>
    <row r="54">
      <c r="A54" s="59" t="inlineStr">
        <is>
          <t>STANDING</t>
        </is>
      </c>
      <c r="B54" s="60" t="inlineStr">
        <is>
          <t>champion</t>
        </is>
      </c>
      <c r="M54" s="61" t="n">
        <v>60</v>
      </c>
      <c r="N54" s="61" t="n">
        <v>40</v>
      </c>
      <c r="Q54" s="18">
        <f>IF(SUMPRODUCT(ABS(C54:P54))=100,"ok","*** FIX ***")</f>
        <v/>
      </c>
    </row>
    <row r="55">
      <c r="A55" s="59" t="inlineStr">
        <is>
          <t>STANDING</t>
        </is>
      </c>
      <c r="B55" s="60" t="inlineStr">
        <is>
          <t>slander</t>
        </is>
      </c>
      <c r="M55" s="54" t="n">
        <v>-70</v>
      </c>
      <c r="N55" s="54" t="n">
        <v>-30</v>
      </c>
      <c r="Q55" s="18">
        <f>IF(SUMPRODUCT(ABS(C55:P55))=100,"ok","*** FIX ***")</f>
        <v/>
      </c>
    </row>
    <row r="56">
      <c r="A56" s="59" t="inlineStr">
        <is>
          <t>STANDING</t>
        </is>
      </c>
      <c r="B56" s="60" t="inlineStr">
        <is>
          <t>denounce</t>
        </is>
      </c>
      <c r="M56" s="54" t="n">
        <v>-20</v>
      </c>
      <c r="N56" s="54" t="n">
        <v>-80</v>
      </c>
      <c r="Q56" s="18">
        <f>IF(SUMPRODUCT(ABS(C56:P56))=100,"ok","*** FIX ***")</f>
        <v/>
      </c>
    </row>
    <row r="57">
      <c r="A57" s="59" t="inlineStr">
        <is>
          <t>STANDING</t>
        </is>
      </c>
      <c r="B57" s="60" t="inlineStr">
        <is>
          <t>humble</t>
        </is>
      </c>
      <c r="M57" s="61" t="n">
        <v>50</v>
      </c>
      <c r="N57" s="54" t="n">
        <v>-50</v>
      </c>
      <c r="Q57" s="18">
        <f>IF(SUMPRODUCT(ABS(C57:P57))=100,"ok","*** FIX ***")</f>
        <v/>
      </c>
    </row>
    <row r="58">
      <c r="A58" s="59" t="inlineStr">
        <is>
          <t>STANDING</t>
        </is>
      </c>
      <c r="B58" s="60" t="inlineStr">
        <is>
          <t>menace</t>
        </is>
      </c>
      <c r="M58" s="54" t="n">
        <v>-50</v>
      </c>
      <c r="N58" s="61" t="n">
        <v>50</v>
      </c>
      <c r="Q58" s="18">
        <f>IF(SUMPRODUCT(ABS(C58:P58))=100,"ok","*** FIX ***")</f>
        <v/>
      </c>
    </row>
    <row r="59">
      <c r="A59" s="59" t="inlineStr">
        <is>
          <t>STANDING</t>
        </is>
      </c>
      <c r="B59" s="60" t="inlineStr">
        <is>
          <t>humiliate</t>
        </is>
      </c>
      <c r="J59" s="54" t="n">
        <v>-50</v>
      </c>
      <c r="N59" s="54" t="n">
        <v>-50</v>
      </c>
      <c r="Q59" s="18">
        <f>IF(SUMPRODUCT(ABS(C59:P59))=100,"ok","*** FIX ***")</f>
        <v/>
      </c>
    </row>
    <row r="60">
      <c r="A60" s="59" t="inlineStr">
        <is>
          <t>STANDING</t>
        </is>
      </c>
      <c r="B60" s="60" t="inlineStr">
        <is>
          <t>embolden</t>
        </is>
      </c>
      <c r="J60" s="61" t="n">
        <v>60</v>
      </c>
      <c r="N60" s="61" t="n">
        <v>40</v>
      </c>
      <c r="Q60" s="18">
        <f>IF(SUMPRODUCT(ABS(C60:P60))=100,"ok","*** FIX ***")</f>
        <v/>
      </c>
    </row>
    <row r="61">
      <c r="A61" s="59" t="inlineStr">
        <is>
          <t>STANDING</t>
        </is>
      </c>
      <c r="B61" s="60" t="inlineStr">
        <is>
          <t>enthrall</t>
        </is>
      </c>
      <c r="L61" s="54" t="n">
        <v>-50</v>
      </c>
      <c r="M61" s="61" t="n">
        <v>50</v>
      </c>
      <c r="Q61" s="18">
        <f>IF(SUMPRODUCT(ABS(C61:P61))=100,"ok","*** FIX ***")</f>
        <v/>
      </c>
    </row>
    <row r="62">
      <c r="A62" s="59" t="inlineStr">
        <is>
          <t>MYSTIC</t>
        </is>
      </c>
      <c r="B62" s="60" t="inlineStr">
        <is>
          <t>enchant</t>
        </is>
      </c>
      <c r="O62" s="61" t="n">
        <v>100</v>
      </c>
      <c r="Q62" s="18">
        <f>IF(SUMPRODUCT(ABS(C62:P62))=100,"ok","*** FIX ***")</f>
        <v/>
      </c>
    </row>
    <row r="63">
      <c r="A63" s="59" t="inlineStr">
        <is>
          <t>MYSTIC</t>
        </is>
      </c>
      <c r="B63" s="60" t="inlineStr">
        <is>
          <t>dispel</t>
        </is>
      </c>
      <c r="O63" s="54" t="n">
        <v>-100</v>
      </c>
      <c r="Q63" s="18">
        <f>IF(SUMPRODUCT(ABS(C63:P63))=100,"ok","*** FIX ***")</f>
        <v/>
      </c>
    </row>
    <row r="64">
      <c r="A64" s="59" t="inlineStr">
        <is>
          <t>MYSTIC</t>
        </is>
      </c>
      <c r="B64" s="60" t="inlineStr">
        <is>
          <t>infuse</t>
        </is>
      </c>
      <c r="P64" s="61" t="n">
        <v>100</v>
      </c>
      <c r="Q64" s="18">
        <f>IF(SUMPRODUCT(ABS(C64:P64))=100,"ok","*** FIX ***")</f>
        <v/>
      </c>
    </row>
    <row r="65">
      <c r="A65" s="59" t="inlineStr">
        <is>
          <t>MYSTIC</t>
        </is>
      </c>
      <c r="B65" s="60" t="inlineStr">
        <is>
          <t>drain</t>
        </is>
      </c>
      <c r="P65" s="54" t="n">
        <v>-100</v>
      </c>
      <c r="Q65" s="18">
        <f>IF(SUMPRODUCT(ABS(C65:P65))=100,"ok","*** FIX ***")</f>
        <v/>
      </c>
    </row>
    <row r="66">
      <c r="A66" s="59" t="inlineStr">
        <is>
          <t>MYSTIC</t>
        </is>
      </c>
      <c r="B66" s="60" t="inlineStr">
        <is>
          <t>ward</t>
        </is>
      </c>
      <c r="O66" s="61" t="n">
        <v>60</v>
      </c>
      <c r="P66" s="61" t="n">
        <v>40</v>
      </c>
      <c r="Q66" s="18">
        <f>IF(SUMPRODUCT(ABS(C66:P66))=100,"ok","*** FIX ***")</f>
        <v/>
      </c>
    </row>
    <row r="67">
      <c r="A67" s="59" t="inlineStr">
        <is>
          <t>MYSTIC</t>
        </is>
      </c>
      <c r="B67" s="60" t="inlineStr">
        <is>
          <t>siphon</t>
        </is>
      </c>
      <c r="O67" s="54" t="n">
        <v>-50</v>
      </c>
      <c r="P67" s="54" t="n">
        <v>-50</v>
      </c>
      <c r="Q67" s="18">
        <f>IF(SUMPRODUCT(ABS(C67:P67))=100,"ok","*** FIX ***")</f>
        <v/>
      </c>
    </row>
    <row r="68">
      <c r="A68" s="59" t="inlineStr">
        <is>
          <t>MYSTIC</t>
        </is>
      </c>
      <c r="B68" s="60" t="inlineStr">
        <is>
          <t>bind</t>
        </is>
      </c>
      <c r="O68" s="61" t="n">
        <v>70</v>
      </c>
      <c r="P68" s="54" t="n">
        <v>-30</v>
      </c>
      <c r="Q68" s="18">
        <f>IF(SUMPRODUCT(ABS(C68:P68))=100,"ok","*** FIX ***")</f>
        <v/>
      </c>
    </row>
    <row r="69">
      <c r="A69" s="59" t="inlineStr">
        <is>
          <t>MYSTIC</t>
        </is>
      </c>
      <c r="B69" s="60" t="inlineStr">
        <is>
          <t>surge</t>
        </is>
      </c>
      <c r="O69" s="54" t="n">
        <v>-40</v>
      </c>
      <c r="P69" s="61" t="n">
        <v>60</v>
      </c>
      <c r="Q69" s="18">
        <f>IF(SUMPRODUCT(ABS(C69:P69))=100,"ok","*** FIX ***")</f>
        <v/>
      </c>
    </row>
    <row r="70">
      <c r="A70" s="59" t="inlineStr">
        <is>
          <t>MYSTIC</t>
        </is>
      </c>
      <c r="B70" s="60" t="inlineStr">
        <is>
          <t>curse</t>
        </is>
      </c>
      <c r="F70" s="54" t="n">
        <v>-30</v>
      </c>
      <c r="M70" s="54" t="n">
        <v>-30</v>
      </c>
      <c r="O70" s="61" t="n">
        <v>40</v>
      </c>
      <c r="Q70" s="18">
        <f>IF(SUMPRODUCT(ABS(C70:P70))=100,"ok","*** FIX ***")</f>
        <v/>
      </c>
    </row>
    <row r="71">
      <c r="A71" s="59" t="inlineStr">
        <is>
          <t>MYSTIC</t>
        </is>
      </c>
      <c r="B71" s="60" t="inlineStr">
        <is>
          <t>blessing</t>
        </is>
      </c>
      <c r="F71" s="61" t="n">
        <v>30</v>
      </c>
      <c r="J71" s="61" t="n">
        <v>30</v>
      </c>
      <c r="O71" s="61" t="n">
        <v>40</v>
      </c>
      <c r="Q71" s="18">
        <f>IF(SUMPRODUCT(ABS(C71:P71))=100,"ok","*** FIX ***")</f>
        <v/>
      </c>
    </row>
    <row r="72">
      <c r="A72" s="59" t="inlineStr">
        <is>
          <t>MYSTIC</t>
        </is>
      </c>
      <c r="B72" s="60" t="inlineStr">
        <is>
          <t>soulburn</t>
        </is>
      </c>
      <c r="F72" s="54" t="n">
        <v>-40</v>
      </c>
      <c r="P72" s="54" t="n">
        <v>-60</v>
      </c>
      <c r="Q72" s="18">
        <f>IF(SUMPRODUCT(ABS(C72:P72))=100,"ok","*** FIX ***")</f>
        <v/>
      </c>
    </row>
    <row r="73">
      <c r="A73" s="59" t="inlineStr">
        <is>
          <t>MYSTIC</t>
        </is>
      </c>
      <c r="B73" s="60" t="inlineStr">
        <is>
          <t>hallow</t>
        </is>
      </c>
      <c r="J73" s="61" t="n">
        <v>40</v>
      </c>
      <c r="O73" s="61" t="n">
        <v>60</v>
      </c>
      <c r="Q73" s="18">
        <f>IF(SUMPRODUCT(ABS(C73:P73))=100,"ok","*** FIX ***")</f>
        <v/>
      </c>
    </row>
    <row r="74">
      <c r="A74" s="59" t="inlineStr">
        <is>
          <t>RESTORE &amp; PROTECT</t>
        </is>
      </c>
      <c r="B74" s="60" t="inlineStr">
        <is>
          <t>mend</t>
        </is>
      </c>
      <c r="F74" s="61" t="n">
        <v>100</v>
      </c>
      <c r="Q74" s="18">
        <f>IF(SUMPRODUCT(ABS(C74:P74))=100,"ok","*** FIX ***")</f>
        <v/>
      </c>
    </row>
    <row r="75">
      <c r="A75" s="59" t="inlineStr">
        <is>
          <t>RESTORE &amp; PROTECT</t>
        </is>
      </c>
      <c r="B75" s="60" t="inlineStr">
        <is>
          <t>rally</t>
        </is>
      </c>
      <c r="G75" s="61" t="n">
        <v>100</v>
      </c>
      <c r="Q75" s="18">
        <f>IF(SUMPRODUCT(ABS(C75:P75))=100,"ok","*** FIX ***")</f>
        <v/>
      </c>
    </row>
    <row r="76">
      <c r="A76" s="59" t="inlineStr">
        <is>
          <t>RESTORE &amp; PROTECT</t>
        </is>
      </c>
      <c r="B76" s="60" t="inlineStr">
        <is>
          <t>courage</t>
        </is>
      </c>
      <c r="J76" s="61" t="n">
        <v>100</v>
      </c>
      <c r="Q76" s="18">
        <f>IF(SUMPRODUCT(ABS(C76:P76))=100,"ok","*** FIX ***")</f>
        <v/>
      </c>
    </row>
    <row r="77">
      <c r="A77" s="59" t="inlineStr">
        <is>
          <t>RESTORE &amp; PROTECT</t>
        </is>
      </c>
      <c r="B77" s="60" t="inlineStr">
        <is>
          <t>lucidity</t>
        </is>
      </c>
      <c r="K77" s="61" t="n">
        <v>100</v>
      </c>
      <c r="Q77" s="18">
        <f>IF(SUMPRODUCT(ABS(C77:P77))=100,"ok","*** FIX ***")</f>
        <v/>
      </c>
    </row>
    <row r="78">
      <c r="A78" s="59" t="inlineStr">
        <is>
          <t>RESTORE &amp; PROTECT</t>
        </is>
      </c>
      <c r="B78" s="60" t="inlineStr">
        <is>
          <t>unbind</t>
        </is>
      </c>
      <c r="L78" s="61" t="n">
        <v>100</v>
      </c>
      <c r="Q78" s="18">
        <f>IF(SUMPRODUCT(ABS(C78:P78))=100,"ok","*** FIX ***")</f>
        <v/>
      </c>
    </row>
    <row r="79">
      <c r="A79" s="59" t="inlineStr">
        <is>
          <t>RESTORE &amp; PROTECT</t>
        </is>
      </c>
      <c r="B79" s="60" t="inlineStr">
        <is>
          <t>brace</t>
        </is>
      </c>
      <c r="D79" s="61" t="n">
        <v>100</v>
      </c>
      <c r="Q79" s="18">
        <f>IF(SUMPRODUCT(ABS(C79:P79))=100,"ok","*** FIX ***")</f>
        <v/>
      </c>
    </row>
    <row r="80">
      <c r="A80" s="59" t="inlineStr">
        <is>
          <t>RESTORE &amp; PROTECT</t>
        </is>
      </c>
      <c r="B80" s="60" t="inlineStr">
        <is>
          <t>seal</t>
        </is>
      </c>
      <c r="E80" s="61" t="n">
        <v>100</v>
      </c>
      <c r="Q80" s="18">
        <f>IF(SUMPRODUCT(ABS(C80:P80))=100,"ok","*** FIX ***")</f>
        <v/>
      </c>
    </row>
    <row r="81">
      <c r="A81" s="59" t="inlineStr">
        <is>
          <t>RESTORE &amp; PROTECT</t>
        </is>
      </c>
      <c r="B81" s="60" t="inlineStr">
        <is>
          <t>haste</t>
        </is>
      </c>
      <c r="H81" s="61" t="n">
        <v>100</v>
      </c>
      <c r="Q81" s="18">
        <f>IF(SUMPRODUCT(ABS(C81:P81))=100,"ok","*** FIX ***")</f>
        <v/>
      </c>
    </row>
    <row r="82">
      <c r="A82" s="59" t="inlineStr">
        <is>
          <t>RESTORE &amp; PROTECT</t>
        </is>
      </c>
      <c r="B82" s="60" t="inlineStr">
        <is>
          <t>keen</t>
        </is>
      </c>
      <c r="I82" s="61" t="n">
        <v>100</v>
      </c>
      <c r="Q82" s="18">
        <f>IF(SUMPRODUCT(ABS(C82:P82))=100,"ok","*** FIX ***")</f>
        <v/>
      </c>
    </row>
    <row r="83">
      <c r="A83" s="59" t="inlineStr">
        <is>
          <t>RESTORE &amp; PROTECT</t>
        </is>
      </c>
      <c r="B83" s="60" t="inlineStr">
        <is>
          <t>regenerate</t>
        </is>
      </c>
      <c r="F83" s="61" t="n">
        <v>60</v>
      </c>
      <c r="G83" s="61" t="n">
        <v>40</v>
      </c>
      <c r="Q83" s="18">
        <f>IF(SUMPRODUCT(ABS(C83:P83))=100,"ok","*** FIX ***")</f>
        <v/>
      </c>
    </row>
    <row r="84">
      <c r="A84" s="59" t="inlineStr">
        <is>
          <t>RESTORE &amp; PROTECT</t>
        </is>
      </c>
      <c r="B84" s="60" t="inlineStr">
        <is>
          <t>fortify</t>
        </is>
      </c>
      <c r="D84" s="61" t="n">
        <v>60</v>
      </c>
      <c r="E84" s="61" t="n">
        <v>40</v>
      </c>
      <c r="Q84" s="18">
        <f>IF(SUMPRODUCT(ABS(C84:P84))=100,"ok","*** FIX ***")</f>
        <v/>
      </c>
    </row>
    <row r="85">
      <c r="A85" s="59" t="inlineStr">
        <is>
          <t>RESTORE &amp; PROTECT</t>
        </is>
      </c>
      <c r="B85" s="60" t="inlineStr">
        <is>
          <t>bolster</t>
        </is>
      </c>
      <c r="D85" s="61" t="n">
        <v>60</v>
      </c>
      <c r="F85" s="61" t="n">
        <v>40</v>
      </c>
      <c r="Q85" s="18">
        <f>IF(SUMPRODUCT(ABS(C85:P85))=100,"ok","*** FIX ***")</f>
        <v/>
      </c>
    </row>
    <row r="86">
      <c r="A86" s="59" t="inlineStr">
        <is>
          <t>RESTORE &amp; PROTECT</t>
        </is>
      </c>
      <c r="B86" s="60" t="inlineStr">
        <is>
          <t>preserve</t>
        </is>
      </c>
      <c r="E86" s="61" t="n">
        <v>60</v>
      </c>
      <c r="F86" s="61" t="n">
        <v>40</v>
      </c>
      <c r="Q86" s="18">
        <f>IF(SUMPRODUCT(ABS(C86:P86))=100,"ok","*** FIX ***")</f>
        <v/>
      </c>
    </row>
    <row r="87">
      <c r="A87" s="59" t="inlineStr">
        <is>
          <t>RESTORE &amp; PROTECT</t>
        </is>
      </c>
      <c r="B87" s="60" t="inlineStr">
        <is>
          <t>steady</t>
        </is>
      </c>
      <c r="J87" s="61" t="n">
        <v>50</v>
      </c>
      <c r="K87" s="61" t="n">
        <v>50</v>
      </c>
      <c r="Q87" s="18">
        <f>IF(SUMPRODUCT(ABS(C87:P87))=100,"ok","*** FIX ***")</f>
        <v/>
      </c>
    </row>
    <row r="88">
      <c r="A88" s="59" t="inlineStr">
        <is>
          <t>RESTORE &amp; PROTECT</t>
        </is>
      </c>
      <c r="B88" s="60" t="inlineStr">
        <is>
          <t>soothe</t>
        </is>
      </c>
      <c r="G88" s="61" t="n">
        <v>40</v>
      </c>
      <c r="J88" s="61" t="n">
        <v>60</v>
      </c>
      <c r="Q88" s="18">
        <f>IF(SUMPRODUCT(ABS(C88:P88))=100,"ok","*** FIX ***")</f>
        <v/>
      </c>
    </row>
    <row r="89">
      <c r="A89" s="59" t="inlineStr">
        <is>
          <t>RESTORE &amp; PROTECT</t>
        </is>
      </c>
      <c r="B89" s="60" t="inlineStr">
        <is>
          <t>sharpen</t>
        </is>
      </c>
      <c r="I89" s="61" t="n">
        <v>40</v>
      </c>
      <c r="K89" s="61" t="n">
        <v>60</v>
      </c>
      <c r="Q89" s="18">
        <f>IF(SUMPRODUCT(ABS(C89:P89))=100,"ok","*** FIX ***")</f>
        <v/>
      </c>
    </row>
    <row r="90">
      <c r="A90" s="59" t="inlineStr">
        <is>
          <t>RESTORE &amp; PROTECT</t>
        </is>
      </c>
      <c r="B90" s="60" t="inlineStr">
        <is>
          <t>vigilance</t>
        </is>
      </c>
      <c r="I90" s="61" t="n">
        <v>60</v>
      </c>
      <c r="K90" s="61" t="n">
        <v>40</v>
      </c>
      <c r="Q90" s="18">
        <f>IF(SUMPRODUCT(ABS(C90:P90))=100,"ok","*** FIX ***")</f>
        <v/>
      </c>
    </row>
    <row r="91">
      <c r="A91" s="59" t="inlineStr">
        <is>
          <t>RESTORE &amp; PROTECT</t>
        </is>
      </c>
      <c r="B91" s="60" t="inlineStr">
        <is>
          <t>quicken</t>
        </is>
      </c>
      <c r="H91" s="61" t="n">
        <v>60</v>
      </c>
      <c r="I91" s="61" t="n">
        <v>40</v>
      </c>
      <c r="Q91" s="18">
        <f>IF(SUMPRODUCT(ABS(C91:P91))=100,"ok","*** FIX ***")</f>
        <v/>
      </c>
    </row>
    <row r="92">
      <c r="A92" s="59" t="inlineStr">
        <is>
          <t>RESTORE &amp; PROTECT</t>
        </is>
      </c>
      <c r="B92" s="60" t="inlineStr">
        <is>
          <t>steel</t>
        </is>
      </c>
      <c r="J92" s="61" t="n">
        <v>50</v>
      </c>
      <c r="L92" s="61" t="n">
        <v>50</v>
      </c>
      <c r="Q92" s="18">
        <f>IF(SUMPRODUCT(ABS(C92:P92))=100,"ok","*** FIX ***")</f>
        <v/>
      </c>
    </row>
    <row r="93">
      <c r="A93" s="59" t="inlineStr">
        <is>
          <t>RESTORE &amp; PROTECT</t>
        </is>
      </c>
      <c r="B93" s="60" t="inlineStr">
        <is>
          <t>freedom</t>
        </is>
      </c>
      <c r="H93" s="61" t="n">
        <v>60</v>
      </c>
      <c r="L93" s="61" t="n">
        <v>40</v>
      </c>
      <c r="Q93" s="18">
        <f>IF(SUMPRODUCT(ABS(C93:P93))=100,"ok","*** FIX ***")</f>
        <v/>
      </c>
    </row>
    <row r="94">
      <c r="A94" s="59" t="inlineStr">
        <is>
          <t>RESTORE &amp; PROTECT</t>
        </is>
      </c>
      <c r="B94" s="60" t="inlineStr">
        <is>
          <t>cleanse</t>
        </is>
      </c>
      <c r="F94" s="61" t="n">
        <v>50</v>
      </c>
      <c r="O94" s="54" t="n">
        <v>-50</v>
      </c>
      <c r="Q94" s="18">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F28"/>
  <sheetViews>
    <sheetView workbookViewId="0">
      <pane ySplit="6" topLeftCell="A7" activePane="bottomLeft" state="frozen"/>
      <selection pane="bottomLeft" activeCell="A1" sqref="A1"/>
    </sheetView>
  </sheetViews>
  <sheetFormatPr baseColWidth="8" defaultRowHeight="15"/>
  <cols>
    <col width="24" customWidth="1" style="19" min="1" max="1"/>
    <col width="32" customWidth="1" style="19" min="2" max="2"/>
    <col width="40" customWidth="1" style="19" min="3" max="3"/>
    <col width="42" customWidth="1" style="19" min="4" max="4"/>
    <col width="66" customWidth="1" style="19" min="5" max="5"/>
  </cols>
  <sheetData>
    <row r="1">
      <c r="A1" s="63" t="inlineStr">
        <is>
          <t>L25 · Transient-to-Persistent conversions</t>
        </is>
      </c>
    </row>
    <row r="2">
      <c r="A2" s="64" t="inlineStr">
        <is>
          <t>PENDING · BLOCKING · research-seeded Aug 2026</t>
        </is>
      </c>
    </row>
    <row r="3">
      <c r="A3" s="65" t="inlineStr">
        <is>
          <t>What a vector that survives Guards actually does. This IS the Landing Socket Vocabulary. Fourteen rows, one per non-attempt Dimension.</t>
        </is>
      </c>
    </row>
    <row r="4">
      <c r="A4" s="66" t="inlineStr">
        <is>
          <t>THE UNIVERSAL ARCHITECTURE IS BUFFER → CONVERT → NAME. Fate, Blades, Lancer, Delta Green, Mouse Guard all do it. So Landing is a PIPELINE SHAPE, not one step — and the buffer belongs to the Component, never the Substrate.</t>
        </is>
      </c>
    </row>
    <row r="6">
      <c r="A6" s="67" t="inlineStr">
        <is>
          <t>Dimension</t>
        </is>
      </c>
      <c r="B6" s="67" t="inlineStr">
        <is>
          <t>Proposed landing model</t>
        </is>
      </c>
      <c r="C6" s="67" t="inlineStr">
        <is>
          <t>What it means</t>
        </is>
      </c>
      <c r="D6" s="67" t="inlineStr">
        <is>
          <t>Precedent</t>
        </is>
      </c>
      <c r="E6" s="67" t="inlineStr">
        <is>
          <t>Notes and hazards</t>
        </is>
      </c>
    </row>
    <row r="7">
      <c r="A7" s="68" t="inlineStr">
        <is>
          <t>hit points</t>
        </is>
      </c>
      <c r="B7" s="68" t="inlineStr">
        <is>
          <t>L1 deplete a pool</t>
        </is>
      </c>
      <c r="C7" s="68" t="inlineStr">
        <is>
          <t>subtract and check zero</t>
        </is>
      </c>
      <c r="D7" s="68" t="inlineStr">
        <is>
          <t>D&amp;D</t>
        </is>
      </c>
      <c r="E7" s="68" t="inlineStr">
        <is>
          <t>NOT assumed. The Substrate ships no Resources; a Setting may legitimately have none. Masks and Mouse Guard are shipping proof.</t>
        </is>
      </c>
      <c r="F7" s="69" t="inlineStr">
        <is>
          <t>← example, not data</t>
        </is>
      </c>
    </row>
    <row r="8">
      <c r="A8" s="70" t="inlineStr">
        <is>
          <t>temperature (bipolar)</t>
        </is>
      </c>
      <c r="B8" s="70" t="inlineStr">
        <is>
          <t>L11 bank + L6 convert</t>
        </is>
      </c>
      <c r="C8" s="70" t="inlineStr">
        <is>
          <t>Accumulate a signed heat value; discharge at a bar</t>
        </is>
      </c>
      <c r="D8" s="70" t="inlineStr">
        <is>
          <t>Lancer Heat · WFRP Ablaze · Rolemaster Heat/Cold tables</t>
        </is>
      </c>
      <c r="E8" s="70" t="inlineStr">
        <is>
          <t>BIPOLAR needs TWO bars, one per sign. No complete precedent exists — Lancer only implements the hot end.</t>
        </is>
      </c>
    </row>
    <row r="9">
      <c r="A9" s="70" t="inlineStr">
        <is>
          <t>integrity</t>
        </is>
      </c>
      <c r="B9" s="70" t="inlineStr">
        <is>
          <t>L1 pool + L6 convert at zero</t>
        </is>
      </c>
      <c r="C9" s="70" t="inlineStr">
        <is>
          <t>Pool is a DISPOSABLE buffer; its only durable effect is the conversion</t>
        </is>
      </c>
      <c r="D9" s="70" t="inlineStr">
        <is>
          <t>Lancer HP→Structure (HP resets to full) · Mörk Borg 0 HP→d4 Broken</t>
        </is>
      </c>
      <c r="E9" s="70" t="inlineStr">
        <is>
          <t>The buffer is not durable state and should not survive a Moment as a Facet.</t>
        </is>
      </c>
    </row>
    <row r="10">
      <c r="A10" s="70" t="inlineStr">
        <is>
          <t>substance</t>
        </is>
      </c>
      <c r="B10" s="70" t="inlineStr">
        <is>
          <t>L8 permanent scalar edit</t>
        </is>
      </c>
      <c r="C10" s="70" t="inlineStr">
        <is>
          <t>Matter removed is matter gone; no recovery without an explicit Verb</t>
        </is>
      </c>
      <c r="D10" s="70" t="inlineStr">
        <is>
          <t>Twilight 2000 attribute loss · GURPS DR degradation</t>
        </is>
      </c>
      <c r="E10" s="70" t="inlineStr">
        <is>
          <t>Needs an explicit restoration path — L8 has no natural inverse.</t>
        </is>
      </c>
    </row>
    <row r="11">
      <c r="A11" s="70" t="inlineStr">
        <is>
          <t>vitality</t>
        </is>
      </c>
      <c r="B11" s="70" t="inlineStr">
        <is>
          <t>L3 bar → named condition, read HIGHEST</t>
        </is>
      </c>
      <c r="C11" s="70" t="inlineStr">
        <is>
          <t>A single blow's magnitude, not the sum, decides the wound</t>
        </is>
      </c>
      <c r="D11" s="70" t="inlineStr">
        <is>
          <t>GURPS major wound (&gt;HP/2) · Mythras Serious/Major · Ars Magica</t>
        </is>
      </c>
      <c r="E11" s="70" t="inlineStr">
        <is>
          <t>Reading HIGHEST *is* the all-in incentive. Pair with a residue accumulator or small hits are worthless.</t>
        </is>
      </c>
    </row>
    <row r="12">
      <c r="A12" s="70" t="inlineStr">
        <is>
          <t>vigor</t>
        </is>
      </c>
      <c r="B12" s="70" t="inlineStr">
        <is>
          <t>L2 track, non-linear boxes</t>
        </is>
      </c>
      <c r="C12" s="70" t="inlineStr">
        <is>
          <t>Fatigue is the archetypal graded track</t>
        </is>
      </c>
      <c r="D12" s="70" t="inlineStr">
        <is>
          <t>5e exhaustion · GURPS FP · Ars Magica Fatigue</t>
        </is>
      </c>
      <c r="E12" s="70" t="inlineStr">
        <is>
          <t>Non-linear box counts per severity stop minor harm accumulating at the same rate as major.</t>
        </is>
      </c>
    </row>
    <row r="13">
      <c r="A13" s="70" t="inlineStr">
        <is>
          <t>mobility</t>
        </is>
      </c>
      <c r="B13" s="70" t="inlineStr">
        <is>
          <t>L3 bar → condition, exclusive within an axis</t>
        </is>
      </c>
      <c r="C13" s="70" t="inlineStr">
        <is>
          <t>Below the bar, nothing</t>
        </is>
      </c>
      <c r="D13" s="70" t="inlineStr">
        <is>
          <t>WFRP Prone/Entangled · Lancer Immobilized/Slowed</t>
        </is>
      </c>
      <c r="E13" s="70" t="inlineStr">
        <is>
          <t>Nothing in the field uses an ablative pool for a CAPABILITY axis — 4 of 7 movement is meaningless.</t>
        </is>
      </c>
    </row>
    <row r="14">
      <c r="A14" s="70" t="inlineStr">
        <is>
          <t>acuity</t>
        </is>
      </c>
      <c r="B14" s="70" t="inlineStr">
        <is>
          <t>L3 bar → named condition</t>
        </is>
      </c>
      <c r="C14" s="70" t="inlineStr">
        <is>
          <t>Optionally L7 table to pick which sense</t>
        </is>
      </c>
      <c r="D14" s="70" t="inlineStr">
        <is>
          <t>WFRP Blinded/Deafened · GURPS stunning</t>
        </is>
      </c>
      <c r="E14" s="70" t="inlineStr">
        <is>
          <t>Same capability-axis argument as mobility.</t>
        </is>
      </c>
    </row>
    <row r="15">
      <c r="A15" s="70" t="inlineStr">
        <is>
          <t>composure</t>
        </is>
      </c>
      <c r="B15" s="70" t="inlineStr">
        <is>
          <t>L0 buffer + L6 convert at the cap</t>
        </is>
      </c>
      <c r="C15" s="70" t="inlineStr">
        <is>
          <t>An evaporating in-scene buffer, then a named durable thing</t>
        </is>
      </c>
      <c r="D15" s="70" t="inlineStr">
        <is>
          <t>Blades stress 0–9 → Trauma · Fate mental stress → consequence</t>
        </is>
      </c>
      <c r="E15" s="70" t="inlineStr">
        <is>
          <t>The buffer belongs to the Landing Component, never the Substrate.</t>
        </is>
      </c>
    </row>
    <row r="16">
      <c r="A16" s="70" t="inlineStr">
        <is>
          <t>clarity</t>
        </is>
      </c>
      <c r="B16" s="70" t="inlineStr">
        <is>
          <t>L3 MOVING bar + L7 table draw</t>
        </is>
      </c>
      <c r="C16" s="70" t="inlineStr">
        <is>
          <t>The bar itself moves after each crossing</t>
        </is>
      </c>
      <c r="D16" s="70" t="inlineStr">
        <is>
          <t>Delta Green Breaking Point (resets to new SAN − POW) · CoC</t>
        </is>
      </c>
      <c r="E16" s="70" t="inlineStr">
        <is>
          <t>A MOVING bar is the best mechanism found for having thresholds without the all-in incentive.</t>
        </is>
      </c>
    </row>
    <row r="17">
      <c r="A17" s="70" t="inlineStr">
        <is>
          <t>will</t>
        </is>
      </c>
      <c r="B17" s="70" t="inlineStr">
        <is>
          <t>L9 HARDEN + L3 bar</t>
        </is>
      </c>
      <c r="C17" s="70" t="inlineStr">
        <is>
          <t>Resisting notches you toward immunity; failing notches you toward collapse</t>
        </is>
      </c>
      <c r="D17" s="70" t="inlineStr">
        <is>
          <t>Unknown Armies hardened/failed notches · DG Adaptation</t>
        </is>
      </c>
      <c r="E17" s="70" t="inlineStr">
        <is>
          <t>The mental block wants a two-signed axis the physical block does not. No physical system makes you harder to injure by injuring you; every serious mental system does.</t>
        </is>
      </c>
    </row>
    <row r="18">
      <c r="A18" s="70" t="inlineStr">
        <is>
          <t>regard</t>
        </is>
      </c>
      <c r="B18" s="70" t="inlineStr">
        <is>
          <t>L10 land on a CONNECTION</t>
        </is>
      </c>
      <c r="C18" s="70" t="inlineStr">
        <is>
          <t>Never on the target Entity. Adjusts the HOLDER's stance, per participant</t>
        </is>
      </c>
      <c r="D18" s="70" t="inlineStr">
        <is>
          <t>Exalted 3e Intimacies · Delta Green Bonds</t>
        </is>
      </c>
      <c r="E18" s="70" t="inlineStr">
        <is>
          <t>Exalted: nothing is possible without exploiting an Intimacy. Landing must be able to REJECT a packet for lack of a Connection — and the rejection must be a Record, not a silent drop.</t>
        </is>
      </c>
    </row>
    <row r="19">
      <c r="A19" s="70" t="inlineStr">
        <is>
          <t>standing</t>
        </is>
      </c>
      <c r="B19" s="70" t="inlineStr">
        <is>
          <t>L11 bank and discharge</t>
        </is>
      </c>
      <c r="C19" s="70" t="inlineStr">
        <is>
          <t>Accumulate; convert at a bar into a discrete level; carry the remainder</t>
        </is>
      </c>
      <c r="D19" s="70" t="inlineStr">
        <is>
          <t>Ars Magica Reputation (10 pts = +1 level) · Blades Heat→Wanted</t>
        </is>
      </c>
      <c r="E19" s="70" t="inlineStr">
        <is>
          <t>Ars Magica: a bad reputation is eroded only by growing a good one, never by subtraction.</t>
        </is>
      </c>
    </row>
    <row r="20">
      <c r="A20" s="70" t="inlineStr">
        <is>
          <t>working (bipolar)</t>
        </is>
      </c>
      <c r="B20" s="70" t="inlineStr">
        <is>
          <t>L11 bank, discharge at BOTH bars</t>
        </is>
      </c>
      <c r="C20" s="70" t="inlineStr">
        <is>
          <t>Two bars, one per sign</t>
        </is>
      </c>
      <c r="D20" s="70" t="inlineStr">
        <is>
          <t>Lancer Heat (one end only) · Ars Magica Twilight · Mage Paradox</t>
        </is>
      </c>
      <c r="E20" s="70" t="inlineStr">
        <is>
          <t>No complete precedent. Expect to invent here.</t>
        </is>
      </c>
    </row>
    <row r="21">
      <c r="A21" s="70" t="inlineStr">
        <is>
          <t>essence</t>
        </is>
      </c>
      <c r="B21" s="70" t="inlineStr">
        <is>
          <t>L8 + L3 at zero</t>
        </is>
      </c>
      <c r="C21" s="70" t="inlineStr">
        <is>
          <t>The axis you never get back</t>
        </is>
      </c>
      <c r="D21" s="70" t="inlineStr">
        <is>
          <t>Ars Magica Warping · Vampire Humanity · DG POW loss</t>
        </is>
      </c>
      <c r="E21" s="70" t="inlineStr">
        <is>
          <t>Needs an explicit restoration path.</t>
        </is>
      </c>
    </row>
    <row r="23">
      <c r="A23" s="70" t="inlineStr">
        <is>
          <t>ELEVEN MODELS EXIST (see lists-research.md §4): L0 evaporate · L1 pool · L2 track · L3 bar→condition · L4 phrase in a graded slot · L5 clock · L6 convert to another axis · L7 table draw · L8 scalar edit · L9 harden · L10 land on a Relationship · L11 bank and discharge.</t>
        </is>
      </c>
    </row>
    <row r="25">
      <c r="A25" s="71" t="inlineStr">
        <is>
          <t>CONSIDERED AND REJECTED</t>
        </is>
      </c>
    </row>
    <row r="26">
      <c r="A26" s="72" t="inlineStr">
        <is>
          <t>ONE AXIS, TWO MODELS BY MAGNITUDE</t>
        </is>
      </c>
      <c r="B26" s="72" t="inlineStr"/>
      <c r="C26" s="72" t="inlineStr"/>
      <c r="D26" s="72" t="inlineStr"/>
      <c r="E26" s="72" t="inlineStr">
        <is>
          <t>THE HAZARD TO DECIDE. If vitality lands as a pool below a bar and a condition above it, the answer depends on HOW the total was assembled — which the packet no longer knows. Either Landing reads only the packet (one contributor-reading per Dimension) or it must be handed the contributor list, which is a SUBSTRATE FINDING. Lancer has an open issue on exactly this.</t>
        </is>
      </c>
    </row>
    <row r="27">
      <c r="A27" s="72" t="inlineStr">
        <is>
          <t>assume health</t>
        </is>
      </c>
      <c r="B27" s="72" t="inlineStr"/>
      <c r="C27" s="72" t="inlineStr"/>
      <c r="D27" s="72" t="inlineStr"/>
      <c r="E27" s="72" t="inlineStr">
        <is>
          <t>REJECT: the Substrate ships no Resources. Health is one answer among several.</t>
        </is>
      </c>
    </row>
    <row r="28">
      <c r="A28" s="72" t="inlineStr">
        <is>
          <t>freeform phrase for everything</t>
        </is>
      </c>
      <c r="B28" s="72" t="inlineStr"/>
      <c r="C28" s="72" t="inlineStr"/>
      <c r="D28" s="72" t="inlineStr">
        <is>
          <t>Blades harm</t>
        </is>
      </c>
      <c r="E28" s="72" t="inlineStr">
        <is>
          <t>ARGUE: L4 is not machine-readable, so the Fold cannot reason about "Broken Leg". A phrase-returning Landing needs a Person Decider (rule 21); a table-returning one can be Auto.</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9"/>
  <sheetViews>
    <sheetView workbookViewId="0">
      <pane ySplit="6" topLeftCell="A7" activePane="bottomLeft" state="frozen"/>
      <selection pane="bottomLeft" activeCell="A1" sqref="A1"/>
    </sheetView>
  </sheetViews>
  <sheetFormatPr baseColWidth="8" defaultRowHeight="15"/>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PENDING · research-seeded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Resource ≤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 holds a State</t>
        </is>
      </c>
      <c r="B10" s="70" t="inlineStr">
        <is>
          <t>is prone</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THREE BLANKS THAT MUST BE FILLED HERE, NOT LATER — and research now proposes all three. (1) DEPTH LIMIT: 32. (2) AT THE LIMIT: halt without applying, and WRITE A RECORD. (3) ORDER: (class, layer, component_id, listener_id, target_entity_id).</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PROPOSED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PROPOSED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PROPOSED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PENDING · BLOCKING · three, Aug 2026</t>
        </is>
      </c>
    </row>
    <row r="3">
      <c r="A3" s="65" t="inlineStr">
        <is>
          <t>Holes the Substrate declares and cannot fill. Exactly one occupant each, never zero, never two. A Bundle with an empty Socket must fail to load.</t>
        </is>
      </c>
    </row>
    <row r="4">
      <c r="A4" s="66" t="inlineStr">
        <is>
          <t>THREE. Time and Budget moved into the Substrate in Aug 2026. Occupants are FROZEN PER SETTING — changing one makes a different Setting.</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0" t="inlineStr">
        <is>
          <t>Landing</t>
        </is>
      </c>
      <c r="B10" s="70" t="inlineStr">
        <is>
          <t>What persistent state each Dimension may address (= L25, fourteen rows)</t>
        </is>
      </c>
      <c r="C10" s="70" t="inlineStr">
        <is>
          <t>How a landed vector becomes persistent state</t>
        </is>
      </c>
      <c r="D10" s="70" t="inlineStr">
        <is>
          <t>Vectors arrive and nothing happens</t>
        </is>
      </c>
      <c r="E10" s="70" t="inlineStr">
        <is>
          <t>Research (lists-research.md §4) says this is a PIPELINE, not one step: buffer -&gt; convert -&gt; name. The buffer belongs to the occupant and is never durable.</t>
        </is>
      </c>
    </row>
    <row r="12">
      <c r="A12" s="70" t="inlineStr">
        <is>
          <t>THREE IS THE TARGET AND THE CEILING. Every Socket is a permanent dependency for every Component ever written AND a hole in the documentation. A capability belongs here only if the Substrate cannot function without it AND freezing one answer would make a whole class of Setting impossible.</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SETTLED ·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6" t="inlineStr">
        <is>
          <t>own</t>
        </is>
      </c>
      <c r="B8" s="76" t="inlineStr">
        <is>
          <t>on your turn</t>
        </is>
      </c>
      <c r="C8" s="76" t="inlineStr">
        <is>
          <t>MTG sorcery speed · PF2e "on your turn"</t>
        </is>
      </c>
      <c r="D8" s="76" t="inlineStr">
        <is>
          <t>SETTLED</t>
        </is>
      </c>
      <c r="E8" s="76" t="inlineStr">
        <is>
          <t>The default. Almost everything is this. MAY carry an optional trigger.</t>
        </is>
      </c>
    </row>
    <row r="9">
      <c r="A9" s="76" t="inlineStr">
        <is>
          <t>any</t>
        </is>
      </c>
      <c r="B9" s="76" t="inlineStr">
        <is>
          <t>whenever you like, no restriction</t>
        </is>
      </c>
      <c r="C9" s="76" t="inlineStr">
        <is>
          <t>MTG instant speed</t>
        </is>
      </c>
      <c r="D9" s="76" t="inlineStr">
        <is>
          <t>SETTLED</t>
        </is>
      </c>
      <c r="E9" s="76" t="inlineStr">
        <is>
          <t>Weakest of the four; kept on Dylan's call — "any might be used".</t>
        </is>
      </c>
    </row>
    <row r="10">
      <c r="A10" s="76" t="inlineStr">
        <is>
          <t>respond</t>
        </is>
      </c>
      <c r="B10" s="76" t="inlineStr">
        <is>
          <t>when X happens you may react, AFTER it</t>
        </is>
      </c>
      <c r="C10" s="76" t="inlineStr">
        <is>
          <t>reaction · Yu-Gi-Oh Spell Speed 2</t>
        </is>
      </c>
      <c r="D10" s="76" t="inlineStr">
        <is>
          <t>SETTLED</t>
        </is>
      </c>
      <c r="E10" s="76" t="inlineStr">
        <is>
          <t>trigger REQUIRED. This is what "reaction" means. The condition is authored per ability; the timing word is not.</t>
        </is>
      </c>
    </row>
    <row r="11">
      <c r="A11" s="76" t="inlineStr">
        <is>
          <t>interrupt</t>
        </is>
      </c>
      <c r="B11" s="76" t="inlineStr">
        <is>
          <t>when X happens you may react BEFORE it</t>
        </is>
      </c>
      <c r="C11" s="76" t="inlineStr">
        <is>
          <t>D&amp;D 4e immediate interrupt · Spell Speed 3</t>
        </is>
      </c>
      <c r="D11" s="76" t="inlineStr">
        <is>
          <t>SETTLED</t>
        </is>
      </c>
      <c r="E11" s="76" t="inlineStr">
        <is>
          <t>trigger REQUIRED. NOT cancellation: the state change is visible to the prompting vector's gather at R-100, so Blink does not stop the attack — it removes you from the target set. Kept where 5e cut it because the recorded cost is a HUMAN-TABLE cost (un-narrating a declared action) and a server folding a Ledger has nothing to take back.</t>
        </is>
      </c>
    </row>
    <row r="12">
      <c r="A12" s="76" t="inlineStr">
        <is>
          <t>(trigger)</t>
        </is>
      </c>
      <c r="B12" s="76" t="inlineStr">
        <is>
          <t>an optional condition opening a window</t>
        </is>
      </c>
      <c r="C12" s="76" t="inlineStr">
        <is>
          <t>PF2e trigger line</t>
        </is>
      </c>
      <c r="D12" s="76" t="inlineStr">
        <is>
          <t>SETTLED · SEPARATE FIELD</t>
        </is>
      </c>
      <c r="E12" s="76" t="inlineStr">
        <is>
          <t>Required for respond and interrupt; optional for own and any. PERMISSION, not a Listener — a Listener fires by itself; a trigger opens a window the player still chooses and still pays for.</t>
        </is>
      </c>
    </row>
    <row r="13">
      <c r="A13" s="72" t="n"/>
      <c r="B13" s="72" t="n"/>
      <c r="C13" s="72" t="n"/>
      <c r="D13" s="72" t="n"/>
      <c r="E13" s="72" t="n"/>
    </row>
    <row r="14">
      <c r="A14" s="76" t="inlineStr">
        <is>
          <t>THESE WORDS ARE FROZEN SHORTHANDS THAT EXPAND TO DEFINED PREDICATES, NOT PRIMITIVES. Three of four decompose into L32 Moment kinds + turn ownership, L26 conditions, and Proposal + Decider. An author writes one word for the common case and may write a predicate directly for anything the four do not cover — so four names never become a ceiling. The ONE genuinely new piece is BEFORE-OR-AFTER.</t>
        </is>
      </c>
    </row>
    <row r="15">
      <c r="A15" s="72" t="n"/>
    </row>
    <row r="16">
      <c r="A16" s="71" t="inlineStr">
        <is>
          <t>CONSIDERED AND REJECTED</t>
        </is>
      </c>
    </row>
    <row r="17">
      <c r="A17" s="77" t="inlineStr">
        <is>
          <t>pending</t>
        </is>
      </c>
      <c r="B17" s="72" t="inlineStr"/>
      <c r="C17" s="72" t="inlineStr">
        <is>
          <t>MTG suspend · FFT Charge Time</t>
        </is>
      </c>
      <c r="D17" s="72" t="inlineStr"/>
      <c r="E17" s="72" t="inlineStr">
        <is>
          <t>CUT — a PIN, not a timing. A vector pinned to a later Moment is already a pending Entity that can be targeted and dispelled. A cast time is timing:own plus a pin; the interruptible window falls out.</t>
        </is>
      </c>
    </row>
    <row r="18">
      <c r="A18" s="72" t="inlineStr">
        <is>
          <t>standing</t>
        </is>
      </c>
      <c r="B18" s="72" t="inlineStr"/>
      <c r="C18" s="72" t="inlineStr">
        <is>
          <t>MTG static abilities</t>
        </is>
      </c>
      <c r="D18" s="72" t="inlineStr"/>
      <c r="E18" s="72" t="inlineStr">
        <is>
          <t>CUT — a Modifier (R-200/R-300) or a Guard (R-850/R-1050). Never paid for, never resolved.</t>
        </is>
      </c>
    </row>
    <row r="19">
      <c r="A19" s="72" t="inlineStr">
        <is>
          <t>(the triggered category)</t>
        </is>
      </c>
      <c r="B19" s="72" t="inlineStr"/>
      <c r="C19" s="72" t="inlineStr">
        <is>
          <t>MTG triggered abilities</t>
        </is>
      </c>
      <c r="D19" s="72" t="inlineStr"/>
      <c r="E19" s="72" t="inlineStr">
        <is>
          <t>NOT a timing — a LISTENER. Already class Triggered, already pinned to a later Moment.</t>
        </is>
      </c>
    </row>
    <row r="20">
      <c r="A20" s="72" t="inlineStr">
        <is>
          <t>sustained / concentration</t>
        </is>
      </c>
      <c r="B20" s="72" t="inlineStr"/>
      <c r="C20" s="72" t="inlineStr">
        <is>
          <t>Exalted · D&amp;D concentration</t>
        </is>
      </c>
      <c r="D20" s="72" t="inlineStr"/>
      <c r="E20" s="72" t="inlineStr">
        <is>
          <t>NOT a timing — the committed spend mode plus a Listener.</t>
        </is>
      </c>
    </row>
    <row r="21">
      <c r="A21" s="72" t="inlineStr">
        <is>
          <t>free</t>
        </is>
      </c>
      <c r="B21" s="72" t="inlineStr"/>
      <c r="C21" s="72" t="inlineStr">
        <is>
          <t>D&amp;D 4e free action</t>
        </is>
      </c>
      <c r="D21" s="72" t="inlineStr"/>
      <c r="E21" s="72" t="inlineStr">
        <is>
          <t>NOT a timing — that is cost 0.</t>
        </is>
      </c>
    </row>
    <row r="22">
      <c r="A22" s="72" t="inlineStr">
        <is>
          <t>once per turn</t>
        </is>
      </c>
      <c r="B22" s="72" t="inlineStr"/>
      <c r="C22" s="72" t="inlineStr"/>
      <c r="D22" s="72" t="inlineStr"/>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18" customWidth="1" style="19" min="1" max="1"/>
    <col width="14" customWidth="1" style="19" min="2" max="2"/>
    <col width="30" customWidth="1" style="19" min="3" max="3"/>
    <col width="28" customWidth="1" style="19" min="4" max="4"/>
    <col width="80" customWidth="1" style="19" min="5" max="5"/>
  </cols>
  <sheetData>
    <row r="1">
      <c r="A1" s="63" t="inlineStr">
        <is>
          <t>Links · the relations</t>
        </is>
      </c>
    </row>
    <row r="2">
      <c r="A2" s="64" t="inlineStr">
        <is>
          <t>SETTLED · Aug 2026 · five</t>
        </is>
      </c>
    </row>
    <row r="3">
      <c r="A3" s="65" t="inlineStr">
        <is>
          <t>A link is a (relation, target) pair stored on the HOLDER and named from its point of view. A relation is an ID with declared traits.</t>
        </is>
      </c>
    </row>
    <row r="4">
      <c r="A4" s="66" t="inlineStr">
        <is>
          <t>A NEW RELATION IS A NEW ID, NOT A NEW FIELD — additive by construction. Flecs and Bevy each shipped a bespoke parent/child field, each hit a second structural relation, and each had to rebuild it.</t>
        </is>
      </c>
    </row>
    <row r="6">
      <c r="A6" s="67" t="inlineStr">
        <is>
          <t>Relation</t>
        </is>
      </c>
      <c r="B6" s="67" t="inlineStr">
        <is>
          <t>Tier</t>
        </is>
      </c>
      <c r="C6" s="67" t="inlineStr">
        <is>
          <t>Traits</t>
        </is>
      </c>
      <c r="D6" s="67" t="inlineStr">
        <is>
          <t>Means</t>
        </is>
      </c>
      <c r="E6" s="67" t="inlineStr">
        <is>
          <t>Notes</t>
        </is>
      </c>
    </row>
    <row r="7">
      <c r="A7" s="68" t="inlineStr">
        <is>
          <t>is_a</t>
        </is>
      </c>
      <c r="B7" s="68" t="inlineStr">
        <is>
          <t>—</t>
        </is>
      </c>
      <c r="C7" s="68" t="inlineStr">
        <is>
          <t>—</t>
        </is>
      </c>
      <c r="D7" s="68" t="inlineStr">
        <is>
          <t>inheritance</t>
        </is>
      </c>
      <c r="E7" s="68" t="inlineStr">
        <is>
          <t>REJECTED — a live inheritance link means editing a template retroactively changes folded history. Templates COPY at creation.</t>
        </is>
      </c>
      <c r="F7" s="69" t="inlineStr">
        <is>
          <t>← example, not data</t>
        </is>
      </c>
    </row>
    <row r="8">
      <c r="A8" s="76" t="inlineStr">
        <is>
          <t>part_of</t>
        </is>
      </c>
      <c r="B8" s="76" t="inlineStr">
        <is>
          <t>SUBSTRATE</t>
        </is>
      </c>
      <c r="C8" s="76" t="inlineStr">
        <is>
          <t>exclusive · acyclic · CASCADES</t>
        </is>
      </c>
      <c r="D8" s="76" t="inlineStr">
        <is>
          <t>physical composition</t>
        </is>
      </c>
      <c r="E8" s="76" t="inlineStr">
        <is>
          <t>THE ONLY relation the Substrate itself reads, because destruction cascade and Scale legality depend on it. A door is part of a ship. Cascade is a FOLD RULE, not a Verb side-effect — otherwise rule 8a is violated.</t>
        </is>
      </c>
    </row>
    <row r="9">
      <c r="A9" s="76" t="inlineStr">
        <is>
          <t>member_of</t>
        </is>
      </c>
      <c r="B9" s="76" t="inlineStr">
        <is>
          <t>Ruleset</t>
        </is>
      </c>
      <c r="C9" s="76" t="inlineStr">
        <is>
          <t>many · no cascade</t>
        </is>
      </c>
      <c r="D9" s="76" t="inlineStr">
        <is>
          <t>belonging to a Group</t>
        </is>
      </c>
      <c r="E9" s="76" t="inlineStr">
        <is>
          <t>A person is NOT part of a guild. Kira can be member_of the Ashfall Company AND member_of Bren's party.</t>
        </is>
      </c>
    </row>
    <row r="10">
      <c r="A10" s="76" t="inlineStr">
        <is>
          <t>carried_by</t>
        </is>
      </c>
      <c r="B10" s="76" t="inlineStr">
        <is>
          <t>Ruleset</t>
        </is>
      </c>
      <c r="C10" s="76" t="inlineStr">
        <is>
          <t>exclusive · no cascade</t>
        </is>
      </c>
      <c r="D10" s="76" t="inlineStr">
        <is>
          <t>held or carried</t>
        </is>
      </c>
      <c r="E10" s="76" t="inlineStr"/>
    </row>
    <row r="11">
      <c r="A11" s="76" t="inlineStr">
        <is>
          <t>controlled_by</t>
        </is>
      </c>
      <c r="B11" s="76" t="inlineStr">
        <is>
          <t>Ruleset</t>
        </is>
      </c>
      <c r="C11" s="76" t="inlineStr">
        <is>
          <t>exclusive · no cascade</t>
        </is>
      </c>
      <c r="D11" s="76" t="inlineStr">
        <is>
          <t>who decides for it</t>
        </is>
      </c>
      <c r="E11" s="76" t="inlineStr">
        <is>
          <t>THIS is how a player character differs from a creature. Not a schema difference.</t>
        </is>
      </c>
    </row>
    <row r="12">
      <c r="A12" s="76" t="inlineStr">
        <is>
          <t>owned_by</t>
        </is>
      </c>
      <c r="B12" s="76" t="inlineStr">
        <is>
          <t>Ruleset</t>
        </is>
      </c>
      <c r="C12" s="76" t="inlineStr">
        <is>
          <t>exclusive · no cascade</t>
        </is>
      </c>
      <c r="D12" s="76" t="inlineStr">
        <is>
          <t>property</t>
        </is>
      </c>
      <c r="E12" s="76" t="inlineStr">
        <is>
          <t>Distinct from carried_by — you can carry what you do not own.</t>
        </is>
      </c>
    </row>
    <row r="14">
      <c r="A14" s="76" t="inlineStr">
        <is>
          <t>CONVENTION: named from the holder's point of view and stored on the holder. Always "this thing -&gt; that thing", never a list on the far side. That is what makes every structural change a SINGLE-TARGET Verb, which the Verb shape requires.</t>
        </is>
      </c>
    </row>
    <row r="16">
      <c r="A16" s="71" t="inlineStr">
        <is>
          <t>CONSIDERED AND REJECTED</t>
        </is>
      </c>
    </row>
    <row r="17">
      <c r="A17" s="72" t="inlineStr">
        <is>
          <t>inside / location</t>
        </is>
      </c>
      <c r="B17" s="72" t="inlineStr"/>
      <c r="C17" s="72" t="inlineStr"/>
      <c r="D17" s="72" t="inlineStr"/>
      <c r="E17" s="72" t="inlineStr">
        <is>
          <t>NOT a relation — the PLACE SOCKET's Facet. Only the occupant can say what a position means.</t>
        </is>
      </c>
    </row>
    <row r="18">
      <c r="A18" s="72" t="inlineStr">
        <is>
          <t>sworn_to · knows · docked_to</t>
        </is>
      </c>
      <c r="B18" s="72" t="inlineStr"/>
      <c r="C18" s="72" t="inlineStr"/>
      <c r="D18" s="72" t="inlineStr"/>
      <c r="E18" s="72" t="inlineStr">
        <is>
          <t>SETTING-LEVEL. Let the six Settings publish what they actually need; a new relation is an ID, so it costs nothing.</t>
        </is>
      </c>
    </row>
    <row r="19">
      <c r="A19" s="72" t="inlineStr">
        <is>
          <t>a bidirectional pair (parts + part_of)</t>
        </is>
      </c>
      <c r="B19" s="72" t="inlineStr"/>
      <c r="C19" s="72" t="inlineStr"/>
      <c r="D19" s="72" t="inlineStr"/>
      <c r="E19" s="72" t="inlineStr">
        <is>
          <t>REJECTED — denormalisation, and denormalisation desyncs. The Fold derives the inverse. Nobody surveyed stores only the downward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2026-08-18T02:59:04Z</dcterms:modified>
  <cp:revision>0</cp:revision>
</cp:coreProperties>
</file>